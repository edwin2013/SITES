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28515" windowHeight="12585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V26" i="1" l="1"/>
  <c r="D60" i="1"/>
  <c r="D46" i="1"/>
  <c r="B46" i="1"/>
  <c r="D43" i="1"/>
  <c r="B43" i="1"/>
  <c r="D42" i="1"/>
  <c r="B42" i="1"/>
  <c r="D41" i="1"/>
  <c r="C47" i="1"/>
  <c r="B40" i="1"/>
  <c r="B47" i="1" s="1"/>
  <c r="D39" i="1"/>
  <c r="B39" i="1"/>
  <c r="D38" i="1"/>
  <c r="B38" i="1"/>
  <c r="D37" i="1"/>
  <c r="D36" i="1"/>
  <c r="D47" i="1" s="1"/>
  <c r="B26" i="1"/>
  <c r="U25" i="1"/>
  <c r="R25" i="1"/>
  <c r="O25" i="1"/>
  <c r="L25" i="1"/>
  <c r="I25" i="1"/>
  <c r="F25" i="1"/>
  <c r="D25" i="1"/>
  <c r="B25" i="1"/>
  <c r="U24" i="1"/>
  <c r="R24" i="1"/>
  <c r="O24" i="1"/>
  <c r="L24" i="1"/>
  <c r="I24" i="1"/>
  <c r="F24" i="1"/>
  <c r="D24" i="1"/>
  <c r="U23" i="1"/>
  <c r="R23" i="1"/>
  <c r="O23" i="1"/>
  <c r="L23" i="1"/>
  <c r="I23" i="1"/>
  <c r="F23" i="1"/>
  <c r="U22" i="1"/>
  <c r="R22" i="1"/>
  <c r="O22" i="1"/>
  <c r="L22" i="1"/>
  <c r="I22" i="1"/>
  <c r="F22" i="1"/>
  <c r="D22" i="1"/>
  <c r="B22" i="1"/>
  <c r="U21" i="1"/>
  <c r="R21" i="1"/>
  <c r="O21" i="1"/>
  <c r="L21" i="1"/>
  <c r="I21" i="1"/>
  <c r="F21" i="1"/>
  <c r="D21" i="1"/>
  <c r="B21" i="1"/>
  <c r="U20" i="1"/>
  <c r="R20" i="1"/>
  <c r="O20" i="1"/>
  <c r="L20" i="1"/>
  <c r="I20" i="1"/>
  <c r="F20" i="1"/>
  <c r="D20" i="1"/>
  <c r="C26" i="1"/>
  <c r="U19" i="1"/>
  <c r="R19" i="1"/>
  <c r="O19" i="1"/>
  <c r="L19" i="1"/>
  <c r="I19" i="1"/>
  <c r="F19" i="1"/>
  <c r="B19" i="1"/>
  <c r="U18" i="1"/>
  <c r="R18" i="1"/>
  <c r="O18" i="1"/>
  <c r="L18" i="1"/>
  <c r="I18" i="1"/>
  <c r="F18" i="1"/>
  <c r="B18" i="1"/>
  <c r="U17" i="1"/>
  <c r="R17" i="1"/>
  <c r="O17" i="1"/>
  <c r="L17" i="1"/>
  <c r="I17" i="1"/>
  <c r="F17" i="1"/>
  <c r="D17" i="1"/>
  <c r="B17" i="1"/>
  <c r="U16" i="1"/>
  <c r="R16" i="1"/>
  <c r="O16" i="1"/>
  <c r="L16" i="1"/>
  <c r="I16" i="1"/>
  <c r="F16" i="1"/>
  <c r="D16" i="1"/>
  <c r="U15" i="1"/>
  <c r="R15" i="1"/>
  <c r="O15" i="1"/>
  <c r="L15" i="1"/>
  <c r="I15" i="1"/>
  <c r="F15" i="1"/>
  <c r="D15" i="1"/>
  <c r="D26" i="1" s="1"/>
  <c r="U14" i="1"/>
  <c r="R14" i="1"/>
  <c r="O14" i="1"/>
  <c r="L14" i="1"/>
  <c r="I14" i="1"/>
  <c r="F14" i="1"/>
  <c r="U13" i="1"/>
  <c r="R13" i="1"/>
  <c r="O13" i="1"/>
  <c r="L13" i="1"/>
  <c r="I13" i="1"/>
  <c r="F13" i="1"/>
  <c r="U12" i="1"/>
  <c r="R12" i="1"/>
  <c r="O12" i="1"/>
  <c r="L12" i="1"/>
  <c r="I12" i="1"/>
  <c r="F12" i="1"/>
  <c r="U11" i="1"/>
  <c r="R11" i="1"/>
  <c r="O11" i="1"/>
  <c r="L11" i="1"/>
  <c r="I11" i="1"/>
  <c r="F11" i="1"/>
  <c r="U10" i="1"/>
  <c r="R10" i="1"/>
  <c r="O10" i="1"/>
  <c r="L10" i="1"/>
  <c r="I10" i="1"/>
  <c r="F10" i="1"/>
  <c r="U9" i="1"/>
  <c r="R9" i="1"/>
  <c r="O9" i="1"/>
  <c r="L9" i="1"/>
  <c r="I9" i="1"/>
  <c r="F9" i="1"/>
  <c r="U8" i="1"/>
  <c r="R8" i="1"/>
  <c r="O8" i="1"/>
  <c r="L8" i="1"/>
  <c r="I8" i="1"/>
  <c r="F8" i="1"/>
  <c r="U7" i="1"/>
  <c r="R7" i="1"/>
  <c r="O7" i="1"/>
  <c r="L7" i="1"/>
  <c r="I7" i="1"/>
  <c r="F7" i="1"/>
  <c r="U6" i="1"/>
  <c r="S26" i="1"/>
  <c r="R6" i="1"/>
  <c r="P26" i="1"/>
  <c r="O6" i="1"/>
  <c r="M26" i="1"/>
  <c r="L6" i="1"/>
  <c r="J26" i="1"/>
  <c r="I6" i="1"/>
  <c r="G26" i="1"/>
  <c r="F6" i="1"/>
  <c r="D50" i="1" l="1"/>
  <c r="C50" i="1"/>
  <c r="D65" i="1"/>
  <c r="D63" i="1"/>
  <c r="B50" i="1"/>
  <c r="B65" i="1" s="1"/>
  <c r="B63" i="1" s="1"/>
  <c r="C65" i="1"/>
  <c r="C63" i="1"/>
</calcChain>
</file>

<file path=xl/sharedStrings.xml><?xml version="1.0" encoding="utf-8"?>
<sst xmlns="http://schemas.openxmlformats.org/spreadsheetml/2006/main" count="66" uniqueCount="37">
  <si>
    <t>Departmento de Tesoreria</t>
  </si>
  <si>
    <t>.</t>
  </si>
  <si>
    <t>Colones</t>
  </si>
  <si>
    <t>Dólares</t>
  </si>
  <si>
    <t>Euros</t>
  </si>
  <si>
    <t xml:space="preserve">       Resumen Entregas/Pedidos colones</t>
  </si>
  <si>
    <t xml:space="preserve">       Resumen Entregas/Pedidos dólares</t>
  </si>
  <si>
    <t xml:space="preserve">       Resumen Entregas/Pedidos Euros</t>
  </si>
  <si>
    <t>Saldo Inicial Boveda</t>
  </si>
  <si>
    <t>Código</t>
  </si>
  <si>
    <t>Entregas ¢</t>
  </si>
  <si>
    <t>Pedidos ¢</t>
  </si>
  <si>
    <t>Entregas $</t>
  </si>
  <si>
    <t>Pedidos $</t>
  </si>
  <si>
    <t>Entregas €</t>
  </si>
  <si>
    <t>Pedidos €</t>
  </si>
  <si>
    <t xml:space="preserve"> </t>
  </si>
  <si>
    <t>PEDIDOS</t>
  </si>
  <si>
    <t xml:space="preserve">       </t>
  </si>
  <si>
    <t>Cola</t>
  </si>
  <si>
    <t>Mutilado</t>
  </si>
  <si>
    <t>Total pedidos</t>
  </si>
  <si>
    <t>Total</t>
  </si>
  <si>
    <t>ENTREGAS</t>
  </si>
  <si>
    <t xml:space="preserve">              </t>
  </si>
  <si>
    <t>Total Entregas</t>
  </si>
  <si>
    <t>Saldo Boveda</t>
  </si>
  <si>
    <t>Saldo Inicial CAN</t>
  </si>
  <si>
    <t>Entradas</t>
  </si>
  <si>
    <t>Salidas</t>
  </si>
  <si>
    <t>Saldo Final CAN</t>
  </si>
  <si>
    <t>Balance General</t>
  </si>
  <si>
    <t>Balance Boveda</t>
  </si>
  <si>
    <t xml:space="preserve"> F-BAC-Libro Cierre de Bóveda-CRI-0001323 Versión 2</t>
  </si>
  <si>
    <t xml:space="preserve">  </t>
  </si>
  <si>
    <t xml:space="preserve">                        </t>
  </si>
  <si>
    <t xml:space="preserve">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</si>
</sst>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d&quot; de &quot;mmmm&quot; de &quot;yyyy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Draft 12cpi"/>
    </font>
    <font>
      <b/>
      <i/>
      <sz val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12"/>
      <color indexed="9"/>
      <name val="Arial"/>
      <family val="2"/>
    </font>
    <font>
      <b/>
      <sz val="12"/>
      <color indexed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8"/>
        <bgColor indexed="58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58"/>
      </patternFill>
    </fill>
    <fill>
      <patternFill patternType="solid">
        <fgColor indexed="22"/>
        <bgColor indexed="31"/>
      </patternFill>
    </fill>
    <fill>
      <patternFill patternType="solid">
        <fgColor theme="0"/>
        <bgColor indexed="34"/>
      </patternFill>
    </fill>
    <fill>
      <patternFill patternType="solid">
        <fgColor indexed="23"/>
        <bgColor indexed="55"/>
      </patternFill>
    </fill>
    <fill>
      <patternFill patternType="solid">
        <fgColor theme="0"/>
        <bgColor indexed="31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73">
    <xf numFmtId="0" fontId="0" fillId="0" borderId="0" xfId="0"/>
    <xf numFmtId="4" fontId="3" fillId="2" borderId="0" xfId="2" applyNumberFormat="1" applyFont="1" applyFill="1" applyBorder="1" applyAlignment="1" applyProtection="1">
      <alignment horizontal="center" vertical="center"/>
      <protection locked="0"/>
    </xf>
    <xf numFmtId="4" fontId="3" fillId="2" borderId="0" xfId="2" applyNumberFormat="1" applyFont="1" applyFill="1" applyBorder="1" applyAlignment="1" applyProtection="1">
      <alignment horizontal="center" vertical="center"/>
      <protection locked="0"/>
    </xf>
    <xf numFmtId="4" fontId="4" fillId="2" borderId="0" xfId="2" applyNumberFormat="1" applyFont="1" applyFill="1" applyAlignment="1" applyProtection="1">
      <alignment vertical="center"/>
      <protection locked="0"/>
    </xf>
    <xf numFmtId="164" fontId="5" fillId="2" borderId="0" xfId="2" applyNumberFormat="1" applyFont="1" applyFill="1" applyBorder="1" applyAlignment="1" applyProtection="1">
      <alignment horizontal="center" vertical="center"/>
    </xf>
    <xf numFmtId="164" fontId="5" fillId="2" borderId="0" xfId="2" applyNumberFormat="1" applyFont="1" applyFill="1" applyBorder="1" applyAlignment="1" applyProtection="1">
      <alignment horizontal="center" vertical="center"/>
    </xf>
    <xf numFmtId="4" fontId="4" fillId="2" borderId="0" xfId="2" applyNumberFormat="1" applyFont="1" applyFill="1" applyAlignment="1" applyProtection="1">
      <alignment vertical="center"/>
    </xf>
    <xf numFmtId="4" fontId="6" fillId="3" borderId="1" xfId="2" applyNumberFormat="1" applyFont="1" applyFill="1" applyBorder="1" applyAlignment="1" applyProtection="1">
      <alignment horizontal="center" vertical="center"/>
    </xf>
    <xf numFmtId="4" fontId="7" fillId="2" borderId="2" xfId="2" applyNumberFormat="1" applyFont="1" applyFill="1" applyBorder="1" applyAlignment="1" applyProtection="1">
      <alignment horizontal="center" vertical="center"/>
    </xf>
    <xf numFmtId="4" fontId="7" fillId="4" borderId="0" xfId="2" applyNumberFormat="1" applyFont="1" applyFill="1" applyBorder="1" applyAlignment="1" applyProtection="1">
      <alignment horizontal="center" vertical="center"/>
    </xf>
    <xf numFmtId="4" fontId="8" fillId="5" borderId="0" xfId="2" applyNumberFormat="1" applyFont="1" applyFill="1" applyBorder="1" applyAlignment="1" applyProtection="1">
      <alignment vertical="center"/>
      <protection locked="0"/>
    </xf>
    <xf numFmtId="4" fontId="4" fillId="2" borderId="0" xfId="2" applyNumberFormat="1" applyFont="1" applyFill="1" applyBorder="1" applyAlignment="1" applyProtection="1">
      <alignment vertical="center"/>
      <protection locked="0"/>
    </xf>
    <xf numFmtId="4" fontId="7" fillId="2" borderId="3" xfId="2" applyNumberFormat="1" applyFont="1" applyFill="1" applyBorder="1" applyAlignment="1" applyProtection="1">
      <alignment vertical="center"/>
    </xf>
    <xf numFmtId="4" fontId="5" fillId="2" borderId="1" xfId="2" applyNumberFormat="1" applyFont="1" applyFill="1" applyBorder="1" applyAlignment="1" applyProtection="1">
      <alignment vertical="center"/>
    </xf>
    <xf numFmtId="4" fontId="4" fillId="2" borderId="0" xfId="2" applyNumberFormat="1" applyFont="1" applyFill="1" applyBorder="1" applyAlignment="1" applyProtection="1">
      <alignment vertical="center"/>
    </xf>
    <xf numFmtId="4" fontId="6" fillId="3" borderId="4" xfId="2" applyNumberFormat="1" applyFont="1" applyFill="1" applyBorder="1" applyAlignment="1" applyProtection="1">
      <alignment horizontal="center" vertical="center"/>
    </xf>
    <xf numFmtId="4" fontId="6" fillId="5" borderId="0" xfId="2" applyNumberFormat="1" applyFont="1" applyFill="1" applyBorder="1" applyAlignment="1" applyProtection="1">
      <alignment horizontal="center" vertical="center"/>
    </xf>
    <xf numFmtId="4" fontId="6" fillId="3" borderId="2" xfId="2" applyNumberFormat="1" applyFont="1" applyFill="1" applyBorder="1" applyAlignment="1" applyProtection="1">
      <alignment horizontal="center" vertical="center"/>
    </xf>
    <xf numFmtId="4" fontId="4" fillId="2" borderId="0" xfId="1" applyNumberFormat="1" applyFont="1" applyFill="1" applyBorder="1" applyAlignment="1" applyProtection="1">
      <alignment vertical="center"/>
    </xf>
    <xf numFmtId="4" fontId="0" fillId="6" borderId="5" xfId="2" applyNumberFormat="1" applyFont="1" applyFill="1" applyBorder="1" applyAlignment="1" applyProtection="1">
      <alignment horizontal="center" vertical="center"/>
    </xf>
    <xf numFmtId="4" fontId="4" fillId="2" borderId="4" xfId="2" applyNumberFormat="1" applyFont="1" applyFill="1" applyBorder="1" applyAlignment="1" applyProtection="1">
      <alignment vertical="center"/>
      <protection locked="0"/>
    </xf>
    <xf numFmtId="4" fontId="0" fillId="6" borderId="6" xfId="2" applyNumberFormat="1" applyFont="1" applyFill="1" applyBorder="1" applyAlignment="1" applyProtection="1">
      <alignment horizontal="center" vertical="center"/>
    </xf>
    <xf numFmtId="4" fontId="4" fillId="7" borderId="2" xfId="2" applyNumberFormat="1" applyFont="1" applyFill="1" applyBorder="1" applyAlignment="1" applyProtection="1">
      <alignment vertical="center"/>
      <protection locked="0"/>
    </xf>
    <xf numFmtId="4" fontId="4" fillId="7" borderId="0" xfId="2" applyNumberFormat="1" applyFont="1" applyFill="1" applyBorder="1" applyAlignment="1" applyProtection="1">
      <alignment vertical="center"/>
      <protection locked="0"/>
    </xf>
    <xf numFmtId="4" fontId="0" fillId="6" borderId="2" xfId="2" applyNumberFormat="1" applyFont="1" applyFill="1" applyBorder="1" applyAlignment="1" applyProtection="1">
      <alignment horizontal="center" vertical="center"/>
    </xf>
    <xf numFmtId="4" fontId="4" fillId="2" borderId="2" xfId="2" applyNumberFormat="1" applyFont="1" applyFill="1" applyBorder="1" applyAlignment="1" applyProtection="1">
      <alignment vertical="center"/>
      <protection locked="0"/>
    </xf>
    <xf numFmtId="4" fontId="5" fillId="2" borderId="0" xfId="2" applyNumberFormat="1" applyFont="1" applyFill="1" applyAlignment="1" applyProtection="1">
      <alignment horizontal="center" vertical="center"/>
    </xf>
    <xf numFmtId="4" fontId="5" fillId="2" borderId="0" xfId="2" applyNumberFormat="1" applyFont="1" applyFill="1" applyAlignment="1" applyProtection="1">
      <alignment horizontal="center" vertical="center"/>
      <protection locked="0"/>
    </xf>
    <xf numFmtId="4" fontId="0" fillId="6" borderId="3" xfId="2" applyNumberFormat="1" applyFont="1" applyFill="1" applyBorder="1" applyAlignment="1" applyProtection="1">
      <alignment horizontal="center" vertical="center"/>
    </xf>
    <xf numFmtId="4" fontId="0" fillId="6" borderId="7" xfId="2" applyNumberFormat="1" applyFont="1" applyFill="1" applyBorder="1" applyAlignment="1" applyProtection="1">
      <alignment horizontal="center" vertical="center"/>
    </xf>
    <xf numFmtId="4" fontId="5" fillId="2" borderId="6" xfId="2" applyNumberFormat="1" applyFont="1" applyFill="1" applyBorder="1" applyAlignment="1" applyProtection="1">
      <alignment horizontal="center" vertical="center"/>
    </xf>
    <xf numFmtId="4" fontId="7" fillId="2" borderId="1" xfId="2" applyNumberFormat="1" applyFont="1" applyFill="1" applyBorder="1" applyAlignment="1" applyProtection="1">
      <alignment horizontal="center" vertical="center"/>
    </xf>
    <xf numFmtId="4" fontId="4" fillId="2" borderId="1" xfId="2" applyNumberFormat="1" applyFont="1" applyFill="1" applyBorder="1" applyAlignment="1">
      <alignment vertical="center"/>
    </xf>
    <xf numFmtId="4" fontId="5" fillId="8" borderId="8" xfId="2" applyNumberFormat="1" applyFont="1" applyFill="1" applyBorder="1" applyAlignment="1" applyProtection="1">
      <alignment horizontal="center" vertical="center"/>
    </xf>
    <xf numFmtId="4" fontId="5" fillId="8" borderId="1" xfId="2" applyNumberFormat="1" applyFont="1" applyFill="1" applyBorder="1" applyAlignment="1" applyProtection="1">
      <alignment horizontal="center" vertical="center"/>
    </xf>
    <xf numFmtId="4" fontId="7" fillId="2" borderId="9" xfId="2" applyNumberFormat="1" applyFont="1" applyFill="1" applyBorder="1" applyAlignment="1" applyProtection="1">
      <alignment horizontal="center" vertical="center"/>
    </xf>
    <xf numFmtId="4" fontId="4" fillId="2" borderId="8" xfId="2" applyNumberFormat="1" applyFont="1" applyFill="1" applyBorder="1" applyAlignment="1">
      <alignment vertical="center"/>
    </xf>
    <xf numFmtId="4" fontId="0" fillId="6" borderId="10" xfId="2" applyNumberFormat="1" applyFont="1" applyFill="1" applyBorder="1" applyAlignment="1" applyProtection="1">
      <alignment horizontal="center" vertical="center"/>
    </xf>
    <xf numFmtId="4" fontId="4" fillId="2" borderId="11" xfId="2" applyNumberFormat="1" applyFont="1" applyFill="1" applyBorder="1" applyAlignment="1" applyProtection="1">
      <alignment vertical="center"/>
      <protection locked="0"/>
    </xf>
    <xf numFmtId="4" fontId="0" fillId="6" borderId="12" xfId="2" applyNumberFormat="1" applyFont="1" applyFill="1" applyBorder="1" applyAlignment="1" applyProtection="1">
      <alignment horizontal="center" vertical="center"/>
    </xf>
    <xf numFmtId="4" fontId="4" fillId="4" borderId="0" xfId="2" applyNumberFormat="1" applyFont="1" applyFill="1" applyBorder="1" applyAlignment="1" applyProtection="1">
      <alignment vertical="center"/>
      <protection locked="0"/>
    </xf>
    <xf numFmtId="4" fontId="5" fillId="2" borderId="1" xfId="2" applyNumberFormat="1" applyFont="1" applyFill="1" applyBorder="1" applyAlignment="1" applyProtection="1">
      <alignment vertical="center"/>
      <protection locked="0"/>
    </xf>
    <xf numFmtId="4" fontId="5" fillId="2" borderId="8" xfId="1" applyNumberFormat="1" applyFont="1" applyFill="1" applyBorder="1" applyAlignment="1" applyProtection="1">
      <alignment vertical="center"/>
    </xf>
    <xf numFmtId="4" fontId="5" fillId="2" borderId="1" xfId="1" applyNumberFormat="1" applyFont="1" applyFill="1" applyBorder="1" applyAlignment="1" applyProtection="1">
      <alignment vertical="center"/>
    </xf>
    <xf numFmtId="4" fontId="7" fillId="2" borderId="2" xfId="2" applyNumberFormat="1" applyFont="1" applyFill="1" applyBorder="1" applyAlignment="1" applyProtection="1">
      <alignment horizontal="center" vertical="center"/>
    </xf>
    <xf numFmtId="4" fontId="5" fillId="2" borderId="2" xfId="1" applyNumberFormat="1" applyFont="1" applyFill="1" applyBorder="1" applyAlignment="1" applyProtection="1">
      <alignment vertical="center"/>
    </xf>
    <xf numFmtId="4" fontId="0" fillId="9" borderId="0" xfId="2" applyNumberFormat="1" applyFont="1" applyFill="1" applyBorder="1" applyAlignment="1" applyProtection="1">
      <alignment horizontal="center" vertical="center"/>
    </xf>
    <xf numFmtId="4" fontId="5" fillId="2" borderId="0" xfId="1" applyNumberFormat="1" applyFont="1" applyFill="1" applyBorder="1" applyAlignment="1" applyProtection="1">
      <alignment vertical="center"/>
    </xf>
    <xf numFmtId="4" fontId="5" fillId="4" borderId="0" xfId="1" applyNumberFormat="1" applyFont="1" applyFill="1" applyBorder="1" applyAlignment="1" applyProtection="1">
      <alignment vertical="center"/>
    </xf>
    <xf numFmtId="4" fontId="4" fillId="2" borderId="0" xfId="2" applyNumberFormat="1" applyFont="1" applyFill="1" applyBorder="1" applyAlignment="1" applyProtection="1">
      <alignment horizontal="center" vertical="center"/>
    </xf>
    <xf numFmtId="4" fontId="7" fillId="2" borderId="0" xfId="2" applyNumberFormat="1" applyFont="1" applyFill="1" applyBorder="1" applyAlignment="1" applyProtection="1">
      <alignment horizontal="left" vertical="center"/>
    </xf>
    <xf numFmtId="4" fontId="6" fillId="2" borderId="0" xfId="2" applyNumberFormat="1" applyFont="1" applyFill="1" applyBorder="1" applyAlignment="1" applyProtection="1">
      <alignment horizontal="center" vertical="center"/>
    </xf>
    <xf numFmtId="4" fontId="0" fillId="2" borderId="0" xfId="2" applyNumberFormat="1" applyFont="1" applyFill="1" applyBorder="1" applyAlignment="1" applyProtection="1">
      <alignment horizontal="center" vertical="center"/>
    </xf>
    <xf numFmtId="4" fontId="0" fillId="2" borderId="0" xfId="2" applyNumberFormat="1" applyFont="1" applyFill="1" applyAlignment="1" applyProtection="1">
      <alignment vertical="center"/>
    </xf>
    <xf numFmtId="4" fontId="7" fillId="2" borderId="13" xfId="2" applyNumberFormat="1" applyFont="1" applyFill="1" applyBorder="1" applyAlignment="1" applyProtection="1">
      <alignment vertical="center"/>
    </xf>
    <xf numFmtId="4" fontId="5" fillId="2" borderId="14" xfId="1" applyNumberFormat="1" applyFont="1" applyFill="1" applyBorder="1" applyAlignment="1" applyProtection="1">
      <alignment vertical="center"/>
    </xf>
    <xf numFmtId="4" fontId="5" fillId="2" borderId="0" xfId="2" applyNumberFormat="1" applyFont="1" applyFill="1" applyBorder="1" applyAlignment="1" applyProtection="1">
      <alignment vertical="center"/>
    </xf>
    <xf numFmtId="4" fontId="5" fillId="2" borderId="0" xfId="2" applyNumberFormat="1" applyFont="1" applyFill="1" applyBorder="1" applyAlignment="1" applyProtection="1">
      <alignment vertical="center"/>
      <protection locked="0"/>
    </xf>
    <xf numFmtId="4" fontId="3" fillId="2" borderId="0" xfId="2" applyNumberFormat="1" applyFont="1" applyFill="1" applyAlignment="1" applyProtection="1">
      <alignment horizontal="center" vertical="center"/>
    </xf>
    <xf numFmtId="4" fontId="5" fillId="2" borderId="0" xfId="2" applyNumberFormat="1" applyFont="1" applyFill="1" applyBorder="1" applyAlignment="1" applyProtection="1">
      <alignment horizontal="center" vertical="center"/>
    </xf>
    <xf numFmtId="4" fontId="4" fillId="2" borderId="0" xfId="1" applyNumberFormat="1" applyFont="1" applyFill="1" applyBorder="1" applyAlignment="1" applyProtection="1">
      <alignment vertical="center"/>
      <protection locked="0"/>
    </xf>
    <xf numFmtId="4" fontId="6" fillId="3" borderId="0" xfId="2" applyNumberFormat="1" applyFont="1" applyFill="1" applyBorder="1" applyAlignment="1" applyProtection="1">
      <alignment horizontal="center" vertical="center"/>
    </xf>
    <xf numFmtId="4" fontId="5" fillId="2" borderId="15" xfId="2" applyNumberFormat="1" applyFont="1" applyFill="1" applyBorder="1" applyAlignment="1" applyProtection="1">
      <alignment horizontal="center" vertical="center"/>
    </xf>
    <xf numFmtId="4" fontId="7" fillId="2" borderId="0" xfId="2" applyNumberFormat="1" applyFont="1" applyFill="1" applyBorder="1" applyAlignment="1" applyProtection="1">
      <alignment horizontal="center" vertical="center"/>
    </xf>
    <xf numFmtId="4" fontId="6" fillId="3" borderId="1" xfId="2" applyNumberFormat="1" applyFont="1" applyFill="1" applyBorder="1" applyAlignment="1" applyProtection="1">
      <alignment horizontal="center" vertical="center"/>
    </xf>
    <xf numFmtId="4" fontId="5" fillId="2" borderId="1" xfId="2" applyNumberFormat="1" applyFont="1" applyFill="1" applyBorder="1" applyAlignment="1" applyProtection="1">
      <alignment horizontal="center" vertical="center"/>
      <protection locked="0"/>
    </xf>
    <xf numFmtId="4" fontId="0" fillId="2" borderId="0" xfId="2" applyNumberFormat="1" applyFont="1" applyFill="1" applyAlignment="1" applyProtection="1">
      <alignment vertical="center"/>
      <protection locked="0"/>
    </xf>
    <xf numFmtId="4" fontId="6" fillId="3" borderId="3" xfId="2" applyNumberFormat="1" applyFont="1" applyFill="1" applyBorder="1" applyAlignment="1" applyProtection="1">
      <alignment vertical="center"/>
    </xf>
    <xf numFmtId="4" fontId="9" fillId="2" borderId="1" xfId="1" applyNumberFormat="1" applyFont="1" applyFill="1" applyBorder="1" applyAlignment="1" applyProtection="1">
      <alignment vertical="center"/>
    </xf>
    <xf numFmtId="4" fontId="7" fillId="2" borderId="0" xfId="2" applyNumberFormat="1" applyFont="1" applyFill="1" applyBorder="1" applyAlignment="1" applyProtection="1">
      <alignment vertical="center"/>
    </xf>
    <xf numFmtId="4" fontId="4" fillId="2" borderId="0" xfId="1" applyNumberFormat="1" applyFont="1" applyFill="1" applyBorder="1" applyAlignment="1" applyProtection="1">
      <alignment horizontal="center" vertical="center"/>
      <protection locked="0"/>
    </xf>
    <xf numFmtId="4" fontId="5" fillId="2" borderId="0" xfId="2" applyNumberFormat="1" applyFont="1" applyFill="1" applyBorder="1" applyAlignment="1" applyProtection="1">
      <alignment horizontal="center" vertical="center"/>
    </xf>
    <xf numFmtId="4" fontId="5" fillId="2" borderId="0" xfId="1" applyNumberFormat="1" applyFont="1" applyFill="1" applyBorder="1" applyAlignment="1" applyProtection="1">
      <alignment horizontal="center" vertical="center"/>
    </xf>
  </cellXfs>
  <cellStyles count="3">
    <cellStyle name="Excel Built-in Normal" xfId="2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</xdr:colOff>
      <xdr:row>36</xdr:row>
      <xdr:rowOff>27303</xdr:rowOff>
    </xdr:from>
    <xdr:to>
      <xdr:col>9</xdr:col>
      <xdr:colOff>619125</xdr:colOff>
      <xdr:row>48</xdr:row>
      <xdr:rowOff>15874</xdr:rowOff>
    </xdr:to>
    <xdr:sp macro="" textlink="" fLocksText="0">
      <xdr:nvSpPr>
        <xdr:cNvPr id="2" name="Rectangle 1"/>
        <xdr:cNvSpPr>
          <a:spLocks noChangeArrowheads="1"/>
        </xdr:cNvSpPr>
      </xdr:nvSpPr>
      <xdr:spPr bwMode="auto">
        <a:xfrm>
          <a:off x="6501765" y="7428228"/>
          <a:ext cx="4966335" cy="2503171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0160" tIns="20160" rIns="20160" bIns="20160" anchor="t" upright="1"/>
        <a:lstStyle/>
        <a:p>
          <a:pPr algn="l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                                     </a:t>
          </a:r>
        </a:p>
      </xdr:txBody>
    </xdr:sp>
    <xdr:clientData/>
  </xdr:twoCellAnchor>
  <xdr:oneCellAnchor>
    <xdr:from>
      <xdr:col>5</xdr:col>
      <xdr:colOff>238125</xdr:colOff>
      <xdr:row>34</xdr:row>
      <xdr:rowOff>95249</xdr:rowOff>
    </xdr:from>
    <xdr:ext cx="1333500" cy="188190"/>
    <xdr:sp macro="" textlink="" fLocksText="0">
      <xdr:nvSpPr>
        <xdr:cNvPr id="3" name="Text 46"/>
        <xdr:cNvSpPr>
          <a:spLocks noChangeArrowheads="1"/>
        </xdr:cNvSpPr>
      </xdr:nvSpPr>
      <xdr:spPr bwMode="auto">
        <a:xfrm>
          <a:off x="6696075" y="7077074"/>
          <a:ext cx="1333500" cy="18819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  <xdr:txBody>
        <a:bodyPr wrap="square" lIns="20160" tIns="20160" rIns="20160" bIns="20160" anchor="t" upright="1">
          <a:spAutoFit/>
        </a:bodyPr>
        <a:lstStyle/>
        <a:p>
          <a:pPr algn="l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Hecho por:</a:t>
          </a:r>
        </a:p>
      </xdr:txBody>
    </xdr:sp>
    <xdr:clientData/>
  </xdr:oneCellAnchor>
  <xdr:twoCellAnchor>
    <xdr:from>
      <xdr:col>5</xdr:col>
      <xdr:colOff>31750</xdr:colOff>
      <xdr:row>53</xdr:row>
      <xdr:rowOff>15875</xdr:rowOff>
    </xdr:from>
    <xdr:to>
      <xdr:col>9</xdr:col>
      <xdr:colOff>650875</xdr:colOff>
      <xdr:row>64</xdr:row>
      <xdr:rowOff>63500</xdr:rowOff>
    </xdr:to>
    <xdr:sp macro="" textlink="" fLocksText="0">
      <xdr:nvSpPr>
        <xdr:cNvPr id="4" name="Rectangle 47"/>
        <xdr:cNvSpPr>
          <a:spLocks noChangeArrowheads="1"/>
        </xdr:cNvSpPr>
      </xdr:nvSpPr>
      <xdr:spPr bwMode="auto">
        <a:xfrm>
          <a:off x="6489700" y="10979150"/>
          <a:ext cx="5010150" cy="240982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0160" tIns="20160" rIns="20160" bIns="20160" anchor="t" upright="1"/>
        <a:lstStyle/>
        <a:p>
          <a:pPr algn="l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                                     </a:t>
          </a:r>
        </a:p>
      </xdr:txBody>
    </xdr:sp>
    <xdr:clientData/>
  </xdr:twoCellAnchor>
  <xdr:oneCellAnchor>
    <xdr:from>
      <xdr:col>5</xdr:col>
      <xdr:colOff>111125</xdr:colOff>
      <xdr:row>51</xdr:row>
      <xdr:rowOff>15875</xdr:rowOff>
    </xdr:from>
    <xdr:ext cx="756679" cy="188190"/>
    <xdr:sp macro="" textlink="" fLocksText="0">
      <xdr:nvSpPr>
        <xdr:cNvPr id="5" name="Text 48"/>
        <xdr:cNvSpPr>
          <a:spLocks noChangeArrowheads="1"/>
        </xdr:cNvSpPr>
      </xdr:nvSpPr>
      <xdr:spPr bwMode="auto">
        <a:xfrm>
          <a:off x="6569075" y="10560050"/>
          <a:ext cx="756679" cy="18819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  <xdr:txBody>
        <a:bodyPr wrap="none" lIns="20160" tIns="20160" rIns="20160" bIns="20160" anchor="t" upright="1">
          <a:spAutoFit/>
        </a:bodyPr>
        <a:lstStyle/>
        <a:p>
          <a:pPr algn="l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Revisado por: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chavarria/Desktop/ERSIST%20SITES/B&#243;veda/Libro%20Mayor%20B&#243;veda%2012-01-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BRO"/>
      <sheetName val="Saldos"/>
      <sheetName val="Entregas"/>
      <sheetName val="Pedidos"/>
      <sheetName val="ARQUEO COLONES"/>
      <sheetName val="ARQUEO DOLARES"/>
      <sheetName val="ARQUEO EUROS"/>
    </sheetNames>
    <sheetDataSet>
      <sheetData sheetId="0"/>
      <sheetData sheetId="1"/>
      <sheetData sheetId="2">
        <row r="3">
          <cell r="A3" t="str">
            <v>Sucursales</v>
          </cell>
        </row>
        <row r="4">
          <cell r="A4" t="str">
            <v>ATM Descargas</v>
          </cell>
        </row>
        <row r="5">
          <cell r="A5" t="str">
            <v>ATM Full</v>
          </cell>
        </row>
        <row r="6">
          <cell r="A6" t="str">
            <v>ATM Full</v>
          </cell>
        </row>
        <row r="7">
          <cell r="A7" t="str">
            <v>BNA Proval</v>
          </cell>
        </row>
        <row r="8">
          <cell r="A8" t="str">
            <v>Proval (KFC)</v>
          </cell>
        </row>
        <row r="9">
          <cell r="A9" t="str">
            <v>Proval (AM-PM)</v>
          </cell>
        </row>
        <row r="10">
          <cell r="A10" t="str">
            <v>Entregas CEF GRD</v>
          </cell>
        </row>
        <row r="11">
          <cell r="A11" t="str">
            <v>Entregas CEF GRD</v>
          </cell>
        </row>
        <row r="12">
          <cell r="A12" t="str">
            <v>Entregas CEF GRD</v>
          </cell>
        </row>
        <row r="13">
          <cell r="A13" t="str">
            <v>Cambio Denominación</v>
          </cell>
        </row>
        <row r="14">
          <cell r="A14" t="str">
            <v>Cambio Denominación</v>
          </cell>
        </row>
        <row r="15">
          <cell r="A15" t="str">
            <v>Diferencias</v>
          </cell>
        </row>
        <row r="16">
          <cell r="A16" t="str">
            <v>Entregas CEF PEQ</v>
          </cell>
        </row>
        <row r="17">
          <cell r="A17" t="str">
            <v>Entregas CEF PEQ</v>
          </cell>
        </row>
        <row r="18">
          <cell r="A18" t="str">
            <v xml:space="preserve">BPS </v>
          </cell>
        </row>
        <row r="19">
          <cell r="A19" t="str">
            <v>BPS VALIDACION</v>
          </cell>
        </row>
        <row r="20">
          <cell r="A20" t="str">
            <v>Entrega Níquel</v>
          </cell>
        </row>
        <row r="21">
          <cell r="A21" t="str">
            <v>Bancos</v>
          </cell>
        </row>
        <row r="22">
          <cell r="A22" t="str">
            <v>CAN</v>
          </cell>
        </row>
        <row r="28">
          <cell r="A28" t="str">
            <v>Sucursales</v>
          </cell>
        </row>
        <row r="29">
          <cell r="A29" t="str">
            <v>ATM Descargas</v>
          </cell>
        </row>
        <row r="30">
          <cell r="A30" t="str">
            <v>ATM Full</v>
          </cell>
        </row>
        <row r="31">
          <cell r="A31" t="str">
            <v>ATM Full</v>
          </cell>
        </row>
        <row r="32">
          <cell r="A32" t="str">
            <v>BNA Proval</v>
          </cell>
        </row>
        <row r="33">
          <cell r="A33" t="str">
            <v>Proval (KFC)</v>
          </cell>
        </row>
        <row r="34">
          <cell r="A34" t="str">
            <v>Proval (AM-PM)</v>
          </cell>
        </row>
        <row r="35">
          <cell r="A35" t="str">
            <v>Entregas CEF GRD</v>
          </cell>
        </row>
        <row r="36">
          <cell r="A36" t="str">
            <v>Entregas CEF GRD</v>
          </cell>
        </row>
        <row r="37">
          <cell r="A37" t="str">
            <v>Entregas CEF GRD</v>
          </cell>
        </row>
        <row r="38">
          <cell r="A38" t="str">
            <v>Cambio Denominación</v>
          </cell>
        </row>
        <row r="39">
          <cell r="A39" t="str">
            <v>Cambio Denominación</v>
          </cell>
        </row>
        <row r="40">
          <cell r="A40" t="str">
            <v>Diferencias</v>
          </cell>
        </row>
        <row r="41">
          <cell r="A41" t="str">
            <v>Entregas CEF PEQ</v>
          </cell>
        </row>
        <row r="42">
          <cell r="A42" t="str">
            <v>Entregas CEF PEQ</v>
          </cell>
        </row>
        <row r="43">
          <cell r="A43" t="str">
            <v xml:space="preserve">BPS </v>
          </cell>
        </row>
        <row r="44">
          <cell r="A44" t="str">
            <v>BPS VALIDACION</v>
          </cell>
        </row>
        <row r="45">
          <cell r="A45" t="str">
            <v>Entrega Níquel</v>
          </cell>
        </row>
        <row r="46">
          <cell r="A46" t="str">
            <v>Bancos</v>
          </cell>
        </row>
        <row r="47">
          <cell r="A47" t="str">
            <v>CAN</v>
          </cell>
        </row>
        <row r="51">
          <cell r="A51" t="str">
            <v>Sucursales</v>
          </cell>
        </row>
        <row r="52">
          <cell r="A52" t="str">
            <v>ATM Descargas</v>
          </cell>
        </row>
        <row r="53">
          <cell r="A53" t="str">
            <v>ATM Full</v>
          </cell>
        </row>
        <row r="54">
          <cell r="A54" t="str">
            <v>ATM Full</v>
          </cell>
        </row>
        <row r="55">
          <cell r="A55" t="str">
            <v>BNA Proval</v>
          </cell>
        </row>
        <row r="56">
          <cell r="A56" t="str">
            <v>Proval (KFC)</v>
          </cell>
        </row>
        <row r="57">
          <cell r="A57" t="str">
            <v>Proval (AM-PM)</v>
          </cell>
        </row>
        <row r="58">
          <cell r="A58" t="str">
            <v>Entregas CEF GRD</v>
          </cell>
        </row>
        <row r="59">
          <cell r="A59" t="str">
            <v>Entregas CEF GRD</v>
          </cell>
        </row>
        <row r="60">
          <cell r="A60" t="str">
            <v>Entregas CEF GRD</v>
          </cell>
        </row>
        <row r="61">
          <cell r="A61" t="str">
            <v>Cambio Denominación</v>
          </cell>
        </row>
        <row r="62">
          <cell r="A62" t="str">
            <v>Cambio Denominación</v>
          </cell>
        </row>
        <row r="63">
          <cell r="A63" t="str">
            <v>Cambio Denominación</v>
          </cell>
        </row>
        <row r="64">
          <cell r="A64" t="str">
            <v>Entregas CEF PEQ</v>
          </cell>
        </row>
        <row r="65">
          <cell r="A65" t="str">
            <v>Entregas CEF PEQ</v>
          </cell>
        </row>
        <row r="66">
          <cell r="A66" t="str">
            <v xml:space="preserve">BPS </v>
          </cell>
        </row>
        <row r="67">
          <cell r="A67" t="str">
            <v>Saldos digitacion</v>
          </cell>
        </row>
        <row r="68">
          <cell r="A68" t="str">
            <v>Entrega Níquel</v>
          </cell>
        </row>
        <row r="69">
          <cell r="A69" t="str">
            <v>Bancos</v>
          </cell>
        </row>
        <row r="70">
          <cell r="A70" t="str">
            <v>CAN</v>
          </cell>
        </row>
      </sheetData>
      <sheetData sheetId="3">
        <row r="3">
          <cell r="A3" t="str">
            <v>Sucursales</v>
          </cell>
        </row>
        <row r="4">
          <cell r="A4" t="str">
            <v>ATM Banco</v>
          </cell>
        </row>
        <row r="5">
          <cell r="A5" t="str">
            <v>ATM Banco</v>
          </cell>
        </row>
        <row r="6">
          <cell r="A6" t="str">
            <v>ATM Proval</v>
          </cell>
        </row>
        <row r="7">
          <cell r="A7" t="str">
            <v>ATM Proval</v>
          </cell>
        </row>
        <row r="8">
          <cell r="A8" t="str">
            <v>ATM G4s</v>
          </cell>
        </row>
        <row r="9">
          <cell r="A9" t="str">
            <v>Níquel</v>
          </cell>
        </row>
        <row r="10">
          <cell r="A10" t="str">
            <v>Níquel</v>
          </cell>
        </row>
        <row r="11">
          <cell r="A11" t="str">
            <v>Níquel</v>
          </cell>
        </row>
        <row r="12">
          <cell r="A12" t="str">
            <v>Cambio Denominación</v>
          </cell>
        </row>
        <row r="13">
          <cell r="A13" t="str">
            <v>Cambio Denominación</v>
          </cell>
        </row>
        <row r="14">
          <cell r="A14" t="str">
            <v>Cambio Denominación</v>
          </cell>
        </row>
        <row r="15">
          <cell r="A15" t="str">
            <v>DIGITACION</v>
          </cell>
        </row>
        <row r="16">
          <cell r="A16" t="str">
            <v>Otros</v>
          </cell>
        </row>
        <row r="20">
          <cell r="A20" t="str">
            <v>Exportación</v>
          </cell>
        </row>
        <row r="21">
          <cell r="A21" t="str">
            <v>Bancos</v>
          </cell>
        </row>
        <row r="22">
          <cell r="A22" t="str">
            <v>CAN</v>
          </cell>
        </row>
        <row r="26">
          <cell r="A26" t="str">
            <v>Sucursales</v>
          </cell>
        </row>
        <row r="27">
          <cell r="A27" t="str">
            <v>ATM Banco</v>
          </cell>
        </row>
        <row r="28">
          <cell r="A28" t="str">
            <v>ATM Banco</v>
          </cell>
        </row>
        <row r="29">
          <cell r="A29" t="str">
            <v>ATM Proval</v>
          </cell>
        </row>
        <row r="30">
          <cell r="A30" t="str">
            <v>ATM Proval</v>
          </cell>
        </row>
        <row r="31">
          <cell r="A31" t="str">
            <v>ATM G4s</v>
          </cell>
        </row>
        <row r="32">
          <cell r="A32" t="str">
            <v>Níquel</v>
          </cell>
        </row>
        <row r="33">
          <cell r="A33" t="str">
            <v>Níquel</v>
          </cell>
        </row>
        <row r="34">
          <cell r="A34" t="str">
            <v>Níquel</v>
          </cell>
        </row>
        <row r="35">
          <cell r="A35" t="str">
            <v>Cambio Denominación</v>
          </cell>
        </row>
        <row r="36">
          <cell r="A36" t="str">
            <v>Cambio Denominación</v>
          </cell>
        </row>
        <row r="37">
          <cell r="A37" t="str">
            <v>DIGITACION</v>
          </cell>
        </row>
        <row r="38">
          <cell r="A38" t="str">
            <v>Validacion</v>
          </cell>
        </row>
        <row r="43">
          <cell r="A43" t="str">
            <v>Exportación</v>
          </cell>
        </row>
        <row r="44">
          <cell r="A44" t="str">
            <v>Bancos</v>
          </cell>
        </row>
        <row r="45">
          <cell r="A45" t="str">
            <v>CAN</v>
          </cell>
        </row>
        <row r="49">
          <cell r="A49" t="str">
            <v>Sucursales</v>
          </cell>
        </row>
        <row r="50">
          <cell r="A50" t="str">
            <v>ATM Banco</v>
          </cell>
        </row>
        <row r="51">
          <cell r="A51" t="str">
            <v>ATM Banco</v>
          </cell>
        </row>
        <row r="52">
          <cell r="A52" t="str">
            <v>ATM Proval</v>
          </cell>
        </row>
        <row r="53">
          <cell r="A53" t="str">
            <v>ATM Proval</v>
          </cell>
        </row>
        <row r="54">
          <cell r="A54" t="str">
            <v>ATM G4s</v>
          </cell>
        </row>
        <row r="55">
          <cell r="A55" t="str">
            <v>Níquel</v>
          </cell>
        </row>
        <row r="56">
          <cell r="A56" t="str">
            <v>Níquel</v>
          </cell>
        </row>
        <row r="57">
          <cell r="A57" t="str">
            <v>Níquel</v>
          </cell>
        </row>
        <row r="58">
          <cell r="A58" t="str">
            <v>Cambio Denominación</v>
          </cell>
        </row>
        <row r="59">
          <cell r="A59" t="str">
            <v>Cambio Denominación</v>
          </cell>
        </row>
        <row r="66">
          <cell r="A66" t="str">
            <v>Exportación</v>
          </cell>
        </row>
        <row r="67">
          <cell r="A67" t="str">
            <v>Bancos</v>
          </cell>
        </row>
        <row r="68">
          <cell r="A68" t="str">
            <v>CAN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0"/>
  <sheetViews>
    <sheetView tabSelected="1" workbookViewId="0">
      <selection activeCell="C58" sqref="C58:D58"/>
    </sheetView>
  </sheetViews>
  <sheetFormatPr baseColWidth="10" defaultColWidth="12" defaultRowHeight="15"/>
  <cols>
    <col min="1" max="1" width="24.42578125" style="3" bestFit="1" customWidth="1"/>
    <col min="2" max="2" width="23.28515625" style="3" bestFit="1" customWidth="1"/>
    <col min="3" max="3" width="19.140625" style="3" customWidth="1"/>
    <col min="4" max="4" width="23.5703125" style="3" customWidth="1"/>
    <col min="5" max="5" width="6.42578125" style="3" customWidth="1"/>
    <col min="6" max="6" width="20.85546875" style="3" bestFit="1" customWidth="1"/>
    <col min="7" max="7" width="21.85546875" style="3" bestFit="1" customWidth="1"/>
    <col min="8" max="8" width="2.28515625" style="3" customWidth="1"/>
    <col min="9" max="9" width="20.85546875" style="3" bestFit="1" customWidth="1"/>
    <col min="10" max="10" width="22.28515625" style="3" customWidth="1"/>
    <col min="11" max="11" width="3.28515625" style="3" customWidth="1"/>
    <col min="12" max="12" width="20.85546875" style="3" customWidth="1"/>
    <col min="13" max="13" width="16.5703125" style="3" customWidth="1"/>
    <col min="14" max="14" width="2.85546875" style="3" customWidth="1"/>
    <col min="15" max="15" width="20.85546875" style="3" bestFit="1" customWidth="1"/>
    <col min="16" max="16" width="14.42578125" style="3" bestFit="1" customWidth="1"/>
    <col min="17" max="17" width="3.7109375" style="3" customWidth="1"/>
    <col min="18" max="18" width="20.85546875" style="3" bestFit="1" customWidth="1"/>
    <col min="19" max="19" width="13" style="3" customWidth="1"/>
    <col min="20" max="20" width="3.28515625" style="3" customWidth="1"/>
    <col min="21" max="21" width="21.28515625" style="3" bestFit="1" customWidth="1"/>
    <col min="22" max="22" width="17.28515625" style="3" bestFit="1" customWidth="1"/>
    <col min="23" max="16384" width="12" style="3"/>
  </cols>
  <sheetData>
    <row r="1" spans="1:2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/>
      <c r="L1" s="2"/>
    </row>
    <row r="2" spans="1:23" ht="18" customHeight="1">
      <c r="A2" s="4"/>
      <c r="B2" s="4"/>
      <c r="C2" s="4"/>
      <c r="D2" s="4"/>
      <c r="E2" s="4"/>
      <c r="F2" s="4"/>
      <c r="G2" s="4"/>
      <c r="H2" s="4"/>
      <c r="I2" s="4"/>
      <c r="J2" s="4"/>
      <c r="K2" s="5"/>
      <c r="L2" s="5"/>
    </row>
    <row r="3" spans="1:23" ht="5.25" customHeight="1">
      <c r="A3" s="6"/>
      <c r="B3" s="6"/>
      <c r="C3" s="6"/>
      <c r="D3" s="6" t="s">
        <v>1</v>
      </c>
      <c r="E3" s="6"/>
      <c r="F3" s="6"/>
      <c r="G3" s="6"/>
      <c r="H3" s="6"/>
      <c r="I3" s="6"/>
      <c r="J3" s="6"/>
      <c r="K3" s="6"/>
      <c r="L3" s="6"/>
    </row>
    <row r="4" spans="1:23" ht="16.5" customHeight="1">
      <c r="A4" s="6"/>
      <c r="B4" s="7" t="s">
        <v>2</v>
      </c>
      <c r="C4" s="7" t="s">
        <v>3</v>
      </c>
      <c r="D4" s="7" t="s">
        <v>4</v>
      </c>
      <c r="E4" s="6"/>
      <c r="F4" s="8" t="s">
        <v>5</v>
      </c>
      <c r="G4" s="8"/>
      <c r="H4" s="8"/>
      <c r="I4" s="8"/>
      <c r="J4" s="8"/>
      <c r="K4" s="9"/>
      <c r="L4" s="8" t="s">
        <v>6</v>
      </c>
      <c r="M4" s="8"/>
      <c r="N4" s="8"/>
      <c r="O4" s="8"/>
      <c r="P4" s="8"/>
      <c r="Q4" s="10"/>
      <c r="R4" s="8" t="s">
        <v>7</v>
      </c>
      <c r="S4" s="8"/>
      <c r="T4" s="8"/>
      <c r="U4" s="8"/>
      <c r="V4" s="8"/>
      <c r="W4" s="11"/>
    </row>
    <row r="5" spans="1:23" ht="16.5" customHeight="1">
      <c r="A5" s="12" t="s">
        <v>8</v>
      </c>
      <c r="B5" s="13"/>
      <c r="C5" s="13"/>
      <c r="D5" s="13"/>
      <c r="E5" s="14"/>
      <c r="F5" s="15" t="s">
        <v>9</v>
      </c>
      <c r="G5" s="15" t="s">
        <v>10</v>
      </c>
      <c r="H5" s="16"/>
      <c r="I5" s="17" t="s">
        <v>9</v>
      </c>
      <c r="J5" s="17" t="s">
        <v>11</v>
      </c>
      <c r="K5" s="16"/>
      <c r="L5" s="17" t="s">
        <v>9</v>
      </c>
      <c r="M5" s="17" t="s">
        <v>12</v>
      </c>
      <c r="N5" s="16"/>
      <c r="O5" s="17" t="s">
        <v>9</v>
      </c>
      <c r="P5" s="17" t="s">
        <v>13</v>
      </c>
      <c r="Q5" s="16"/>
      <c r="R5" s="15" t="s">
        <v>9</v>
      </c>
      <c r="S5" s="15" t="s">
        <v>14</v>
      </c>
      <c r="T5" s="16"/>
      <c r="U5" s="15" t="s">
        <v>9</v>
      </c>
      <c r="V5" s="15" t="s">
        <v>15</v>
      </c>
    </row>
    <row r="6" spans="1:23" ht="16.5" customHeight="1">
      <c r="A6" s="14"/>
      <c r="B6" s="18"/>
      <c r="C6" s="18"/>
      <c r="D6" s="18"/>
      <c r="E6" s="14"/>
      <c r="F6" s="19" t="str">
        <f>[1]Entregas!A3</f>
        <v>Sucursales</v>
      </c>
      <c r="G6" s="20"/>
      <c r="H6" s="11"/>
      <c r="I6" s="21" t="str">
        <f>[1]Pedidos!A3</f>
        <v>Sucursales</v>
      </c>
      <c r="J6" s="22"/>
      <c r="K6" s="23"/>
      <c r="L6" s="21" t="str">
        <f>[1]Entregas!A28</f>
        <v>Sucursales</v>
      </c>
      <c r="M6" s="20"/>
      <c r="N6" s="11"/>
      <c r="O6" s="24" t="str">
        <f>[1]Pedidos!A26</f>
        <v>Sucursales</v>
      </c>
      <c r="P6" s="25"/>
      <c r="Q6" s="11"/>
      <c r="R6" s="24" t="str">
        <f>[1]Entregas!A51</f>
        <v>Sucursales</v>
      </c>
      <c r="S6" s="25"/>
      <c r="T6" s="11"/>
      <c r="U6" s="24" t="str">
        <f>[1]Pedidos!A49</f>
        <v>Sucursales</v>
      </c>
      <c r="V6" s="25"/>
    </row>
    <row r="7" spans="1:23" ht="16.5" customHeight="1">
      <c r="A7" s="26" t="s">
        <v>16</v>
      </c>
      <c r="C7" s="27" t="s">
        <v>17</v>
      </c>
      <c r="E7" s="14"/>
      <c r="F7" s="28" t="str">
        <f>[1]Entregas!A4</f>
        <v>ATM Descargas</v>
      </c>
      <c r="G7" s="25"/>
      <c r="H7" s="11"/>
      <c r="I7" s="29" t="str">
        <f>[1]Pedidos!A4</f>
        <v>ATM Banco</v>
      </c>
      <c r="J7" s="22"/>
      <c r="K7" s="23"/>
      <c r="L7" s="29" t="str">
        <f>[1]Entregas!A29</f>
        <v>ATM Descargas</v>
      </c>
      <c r="M7" s="25"/>
      <c r="N7" s="11"/>
      <c r="O7" s="24" t="str">
        <f>[1]Pedidos!A27</f>
        <v>ATM Banco</v>
      </c>
      <c r="P7" s="25"/>
      <c r="Q7" s="11"/>
      <c r="R7" s="24" t="str">
        <f>[1]Entregas!A52</f>
        <v>ATM Descargas</v>
      </c>
      <c r="S7" s="25"/>
      <c r="T7" s="11"/>
      <c r="U7" s="24" t="str">
        <f>[1]Pedidos!A50</f>
        <v>ATM Banco</v>
      </c>
      <c r="V7" s="25"/>
    </row>
    <row r="8" spans="1:23" ht="16.5" customHeight="1">
      <c r="A8" s="30"/>
      <c r="B8" s="7" t="s">
        <v>2</v>
      </c>
      <c r="C8" s="7" t="s">
        <v>3</v>
      </c>
      <c r="D8" s="7" t="s">
        <v>4</v>
      </c>
      <c r="E8" s="6"/>
      <c r="F8" s="28" t="str">
        <f>[1]Entregas!A5</f>
        <v>ATM Full</v>
      </c>
      <c r="G8" s="25"/>
      <c r="H8" s="11"/>
      <c r="I8" s="29" t="str">
        <f>[1]Pedidos!A5</f>
        <v>ATM Banco</v>
      </c>
      <c r="J8" s="22"/>
      <c r="K8" s="23"/>
      <c r="L8" s="29" t="str">
        <f>[1]Entregas!A30</f>
        <v>ATM Full</v>
      </c>
      <c r="M8" s="25"/>
      <c r="N8" s="11"/>
      <c r="O8" s="24" t="str">
        <f>[1]Pedidos!A28</f>
        <v>ATM Banco</v>
      </c>
      <c r="P8" s="25"/>
      <c r="Q8" s="11"/>
      <c r="R8" s="24" t="str">
        <f>[1]Entregas!A53</f>
        <v>ATM Full</v>
      </c>
      <c r="S8" s="25"/>
      <c r="T8" s="11"/>
      <c r="U8" s="24" t="str">
        <f>[1]Pedidos!A51</f>
        <v>ATM Banco</v>
      </c>
      <c r="V8" s="25"/>
    </row>
    <row r="9" spans="1:23" ht="16.5" customHeight="1">
      <c r="A9" s="31">
        <v>50000</v>
      </c>
      <c r="B9" s="32">
        <v>0</v>
      </c>
      <c r="C9" s="33"/>
      <c r="D9" s="34"/>
      <c r="E9" s="6"/>
      <c r="F9" s="28" t="str">
        <f>[1]Entregas!A6</f>
        <v>ATM Full</v>
      </c>
      <c r="G9" s="25"/>
      <c r="H9" s="11"/>
      <c r="I9" s="29" t="str">
        <f>[1]Pedidos!A6</f>
        <v>ATM Proval</v>
      </c>
      <c r="J9" s="22"/>
      <c r="K9" s="23"/>
      <c r="L9" s="29" t="str">
        <f>[1]Entregas!A31</f>
        <v>ATM Full</v>
      </c>
      <c r="M9" s="25"/>
      <c r="N9" s="11"/>
      <c r="O9" s="24" t="str">
        <f>[1]Pedidos!A29</f>
        <v>ATM Proval</v>
      </c>
      <c r="P9" s="25"/>
      <c r="Q9" s="11"/>
      <c r="R9" s="24" t="str">
        <f>[1]Entregas!A54</f>
        <v>ATM Full</v>
      </c>
      <c r="S9" s="25"/>
      <c r="T9" s="11"/>
      <c r="U9" s="24" t="str">
        <f>[1]Pedidos!A52</f>
        <v>ATM Proval</v>
      </c>
      <c r="V9" s="25"/>
    </row>
    <row r="10" spans="1:23" ht="16.5" customHeight="1">
      <c r="A10" s="31">
        <v>20000</v>
      </c>
      <c r="B10" s="32">
        <v>0</v>
      </c>
      <c r="C10" s="33"/>
      <c r="D10" s="34"/>
      <c r="E10" s="6"/>
      <c r="F10" s="28" t="str">
        <f>[1]Entregas!A7</f>
        <v>BNA Proval</v>
      </c>
      <c r="G10" s="25"/>
      <c r="H10" s="11"/>
      <c r="I10" s="29" t="str">
        <f>[1]Pedidos!A7</f>
        <v>ATM Proval</v>
      </c>
      <c r="J10" s="22"/>
      <c r="K10" s="23"/>
      <c r="L10" s="29" t="str">
        <f>[1]Entregas!A32</f>
        <v>BNA Proval</v>
      </c>
      <c r="M10" s="25"/>
      <c r="N10" s="11"/>
      <c r="O10" s="24" t="str">
        <f>[1]Pedidos!A30</f>
        <v>ATM Proval</v>
      </c>
      <c r="P10" s="25"/>
      <c r="Q10" s="11"/>
      <c r="R10" s="24" t="str">
        <f>[1]Entregas!A55</f>
        <v>BNA Proval</v>
      </c>
      <c r="S10" s="25"/>
      <c r="T10" s="11"/>
      <c r="U10" s="24" t="str">
        <f>[1]Pedidos!A53</f>
        <v>ATM Proval</v>
      </c>
      <c r="V10" s="25"/>
    </row>
    <row r="11" spans="1:23" ht="16.5" customHeight="1">
      <c r="A11" s="31">
        <v>10000</v>
      </c>
      <c r="B11" s="32">
        <v>0</v>
      </c>
      <c r="C11" s="33" t="s">
        <v>16</v>
      </c>
      <c r="D11" s="34"/>
      <c r="E11" s="6"/>
      <c r="F11" s="28" t="str">
        <f>[1]Entregas!A8</f>
        <v>Proval (KFC)</v>
      </c>
      <c r="G11" s="25"/>
      <c r="H11" s="11"/>
      <c r="I11" s="29" t="str">
        <f>[1]Pedidos!A8</f>
        <v>ATM G4s</v>
      </c>
      <c r="J11" s="22"/>
      <c r="K11" s="23"/>
      <c r="L11" s="29" t="str">
        <f>[1]Entregas!A33</f>
        <v>Proval (KFC)</v>
      </c>
      <c r="M11" s="25"/>
      <c r="N11" s="11"/>
      <c r="O11" s="24" t="str">
        <f>[1]Pedidos!A31</f>
        <v>ATM G4s</v>
      </c>
      <c r="P11" s="25"/>
      <c r="Q11" s="11"/>
      <c r="R11" s="24" t="str">
        <f>[1]Entregas!A56</f>
        <v>Proval (KFC)</v>
      </c>
      <c r="S11" s="25"/>
      <c r="T11" s="11"/>
      <c r="U11" s="24" t="str">
        <f>[1]Pedidos!A54</f>
        <v>ATM G4s</v>
      </c>
      <c r="V11" s="25"/>
    </row>
    <row r="12" spans="1:23" ht="16.5" customHeight="1">
      <c r="A12" s="31">
        <v>5000</v>
      </c>
      <c r="B12" s="32">
        <v>0</v>
      </c>
      <c r="C12" s="33" t="s">
        <v>16</v>
      </c>
      <c r="D12" s="34"/>
      <c r="E12" s="6"/>
      <c r="F12" s="28" t="str">
        <f>[1]Entregas!A9</f>
        <v>Proval (AM-PM)</v>
      </c>
      <c r="G12" s="25"/>
      <c r="H12" s="11"/>
      <c r="I12" s="29" t="str">
        <f>[1]Pedidos!A9</f>
        <v>Níquel</v>
      </c>
      <c r="J12" s="22"/>
      <c r="K12" s="23"/>
      <c r="L12" s="29" t="str">
        <f>[1]Entregas!A34</f>
        <v>Proval (AM-PM)</v>
      </c>
      <c r="M12" s="25"/>
      <c r="N12" s="11"/>
      <c r="O12" s="24" t="str">
        <f>[1]Pedidos!A32</f>
        <v>Níquel</v>
      </c>
      <c r="P12" s="25"/>
      <c r="Q12" s="11"/>
      <c r="R12" s="24" t="str">
        <f>[1]Entregas!A57</f>
        <v>Proval (AM-PM)</v>
      </c>
      <c r="S12" s="25"/>
      <c r="T12" s="11"/>
      <c r="U12" s="24" t="str">
        <f>[1]Pedidos!A55</f>
        <v>Níquel</v>
      </c>
      <c r="V12" s="25"/>
    </row>
    <row r="13" spans="1:23" ht="16.5" customHeight="1">
      <c r="A13" s="31">
        <v>2000</v>
      </c>
      <c r="B13" s="32">
        <v>0</v>
      </c>
      <c r="C13" s="33" t="s">
        <v>18</v>
      </c>
      <c r="D13" s="34"/>
      <c r="E13" s="6"/>
      <c r="F13" s="28" t="str">
        <f>[1]Entregas!A10</f>
        <v>Entregas CEF GRD</v>
      </c>
      <c r="G13" s="25"/>
      <c r="H13" s="11"/>
      <c r="I13" s="29" t="str">
        <f>[1]Pedidos!A10</f>
        <v>Níquel</v>
      </c>
      <c r="J13" s="22"/>
      <c r="K13" s="23"/>
      <c r="L13" s="29" t="str">
        <f>[1]Entregas!A35</f>
        <v>Entregas CEF GRD</v>
      </c>
      <c r="M13" s="25"/>
      <c r="N13" s="11"/>
      <c r="O13" s="24" t="str">
        <f>[1]Pedidos!A33</f>
        <v>Níquel</v>
      </c>
      <c r="P13" s="25"/>
      <c r="Q13" s="11"/>
      <c r="R13" s="24" t="str">
        <f>[1]Entregas!A58</f>
        <v>Entregas CEF GRD</v>
      </c>
      <c r="S13" s="25"/>
      <c r="T13" s="11"/>
      <c r="U13" s="24" t="str">
        <f>[1]Pedidos!A56</f>
        <v>Níquel</v>
      </c>
      <c r="V13" s="25"/>
    </row>
    <row r="14" spans="1:23" ht="16.5" customHeight="1">
      <c r="A14" s="31">
        <v>1000</v>
      </c>
      <c r="B14" s="32">
        <v>0</v>
      </c>
      <c r="C14" s="33" t="s">
        <v>16</v>
      </c>
      <c r="D14" s="34"/>
      <c r="E14" s="6"/>
      <c r="F14" s="28" t="str">
        <f>[1]Entregas!A11</f>
        <v>Entregas CEF GRD</v>
      </c>
      <c r="G14" s="25"/>
      <c r="H14" s="11"/>
      <c r="I14" s="29" t="str">
        <f>[1]Pedidos!A11</f>
        <v>Níquel</v>
      </c>
      <c r="J14" s="22"/>
      <c r="K14" s="23"/>
      <c r="L14" s="29" t="str">
        <f>[1]Entregas!A36</f>
        <v>Entregas CEF GRD</v>
      </c>
      <c r="M14" s="25"/>
      <c r="N14" s="11"/>
      <c r="O14" s="24" t="str">
        <f>[1]Pedidos!A34</f>
        <v>Níquel</v>
      </c>
      <c r="P14" s="25"/>
      <c r="Q14" s="11"/>
      <c r="R14" s="24" t="str">
        <f>[1]Entregas!A59</f>
        <v>Entregas CEF GRD</v>
      </c>
      <c r="S14" s="25"/>
      <c r="T14" s="11"/>
      <c r="U14" s="24" t="str">
        <f>[1]Pedidos!A57</f>
        <v>Níquel</v>
      </c>
      <c r="V14" s="25"/>
    </row>
    <row r="15" spans="1:23" ht="16.5" customHeight="1">
      <c r="A15" s="31">
        <v>500</v>
      </c>
      <c r="B15" s="32">
        <v>0</v>
      </c>
      <c r="C15" s="33"/>
      <c r="D15" s="32">
        <f>SUM([1]Pedidos!B49:B68)</f>
        <v>0</v>
      </c>
      <c r="E15" s="6"/>
      <c r="F15" s="28" t="str">
        <f>[1]Entregas!A12</f>
        <v>Entregas CEF GRD</v>
      </c>
      <c r="G15" s="25"/>
      <c r="H15" s="11"/>
      <c r="I15" s="29" t="str">
        <f>[1]Pedidos!A12</f>
        <v>Cambio Denominación</v>
      </c>
      <c r="J15" s="22"/>
      <c r="K15" s="23"/>
      <c r="L15" s="29" t="str">
        <f>[1]Entregas!A37</f>
        <v>Entregas CEF GRD</v>
      </c>
      <c r="M15" s="25"/>
      <c r="N15" s="11"/>
      <c r="O15" s="24" t="str">
        <f>[1]Pedidos!A35</f>
        <v>Cambio Denominación</v>
      </c>
      <c r="P15" s="25"/>
      <c r="Q15" s="11"/>
      <c r="R15" s="24" t="str">
        <f>[1]Entregas!A60</f>
        <v>Entregas CEF GRD</v>
      </c>
      <c r="S15" s="25"/>
      <c r="T15" s="11"/>
      <c r="U15" s="24" t="str">
        <f>[1]Pedidos!A58</f>
        <v>Cambio Denominación</v>
      </c>
      <c r="V15" s="25"/>
    </row>
    <row r="16" spans="1:23" ht="16.5" customHeight="1">
      <c r="A16" s="31">
        <v>200</v>
      </c>
      <c r="B16" s="34"/>
      <c r="C16" s="33"/>
      <c r="D16" s="32">
        <f>SUM([1]Pedidos!C49:C68)</f>
        <v>0</v>
      </c>
      <c r="E16" s="6"/>
      <c r="F16" s="28" t="str">
        <f>[1]Entregas!A13</f>
        <v>Cambio Denominación</v>
      </c>
      <c r="G16" s="25"/>
      <c r="H16" s="11"/>
      <c r="I16" s="29" t="str">
        <f>[1]Pedidos!A13</f>
        <v>Cambio Denominación</v>
      </c>
      <c r="J16" s="22"/>
      <c r="K16" s="23"/>
      <c r="L16" s="29" t="str">
        <f>[1]Entregas!A38</f>
        <v>Cambio Denominación</v>
      </c>
      <c r="M16" s="25"/>
      <c r="N16" s="11"/>
      <c r="O16" s="24" t="str">
        <f>[1]Pedidos!A36</f>
        <v>Cambio Denominación</v>
      </c>
      <c r="P16" s="25"/>
      <c r="Q16" s="11"/>
      <c r="R16" s="24" t="str">
        <f>[1]Entregas!A61</f>
        <v>Cambio Denominación</v>
      </c>
      <c r="S16" s="25"/>
      <c r="T16" s="11"/>
      <c r="U16" s="24" t="str">
        <f>[1]Pedidos!A59</f>
        <v>Cambio Denominación</v>
      </c>
      <c r="V16" s="25"/>
    </row>
    <row r="17" spans="1:22">
      <c r="A17" s="31">
        <v>100</v>
      </c>
      <c r="B17" s="32">
        <f>SUM([1]Pedidos!I3:I22)</f>
        <v>0</v>
      </c>
      <c r="C17" s="32"/>
      <c r="D17" s="32">
        <f>SUM([1]Pedidos!D49:D68)</f>
        <v>0</v>
      </c>
      <c r="E17" s="6"/>
      <c r="F17" s="28" t="str">
        <f>[1]Entregas!A14</f>
        <v>Cambio Denominación</v>
      </c>
      <c r="G17" s="25"/>
      <c r="H17" s="11"/>
      <c r="I17" s="29" t="str">
        <f>[1]Pedidos!A14</f>
        <v>Cambio Denominación</v>
      </c>
      <c r="J17" s="22"/>
      <c r="K17" s="23"/>
      <c r="L17" s="29" t="str">
        <f>[1]Entregas!A39</f>
        <v>Cambio Denominación</v>
      </c>
      <c r="M17" s="25"/>
      <c r="N17" s="11"/>
      <c r="O17" s="24" t="str">
        <f>[1]Pedidos!A37</f>
        <v>DIGITACION</v>
      </c>
      <c r="P17" s="25"/>
      <c r="Q17" s="11"/>
      <c r="R17" s="24" t="str">
        <f>[1]Entregas!A62</f>
        <v>Cambio Denominación</v>
      </c>
      <c r="S17" s="25"/>
      <c r="T17" s="11"/>
      <c r="U17" s="24">
        <f>[1]Pedidos!A60</f>
        <v>0</v>
      </c>
      <c r="V17" s="25"/>
    </row>
    <row r="18" spans="1:22">
      <c r="A18" s="31">
        <v>50</v>
      </c>
      <c r="B18" s="32">
        <f>SUM([1]Pedidos!J3:J22)</f>
        <v>0</v>
      </c>
      <c r="C18" s="32"/>
      <c r="D18" s="32"/>
      <c r="E18" s="6"/>
      <c r="F18" s="28" t="str">
        <f>[1]Entregas!A15</f>
        <v>Diferencias</v>
      </c>
      <c r="G18" s="25"/>
      <c r="H18" s="11"/>
      <c r="I18" s="29" t="str">
        <f>[1]Pedidos!A15</f>
        <v>DIGITACION</v>
      </c>
      <c r="J18" s="22"/>
      <c r="K18" s="23"/>
      <c r="L18" s="29" t="str">
        <f>[1]Entregas!A40</f>
        <v>Diferencias</v>
      </c>
      <c r="M18" s="25"/>
      <c r="N18" s="11"/>
      <c r="O18" s="24" t="str">
        <f>[1]Pedidos!A38</f>
        <v>Validacion</v>
      </c>
      <c r="P18" s="25"/>
      <c r="Q18" s="11"/>
      <c r="R18" s="24" t="str">
        <f>[1]Entregas!A63</f>
        <v>Cambio Denominación</v>
      </c>
      <c r="S18" s="25"/>
      <c r="T18" s="11"/>
      <c r="U18" s="24">
        <f>[1]Pedidos!A61</f>
        <v>0</v>
      </c>
      <c r="V18" s="25"/>
    </row>
    <row r="19" spans="1:22" ht="15.75">
      <c r="A19" s="31">
        <v>25</v>
      </c>
      <c r="B19" s="32">
        <f>SUM([1]Pedidos!K3:K22)</f>
        <v>0</v>
      </c>
      <c r="C19" s="33"/>
      <c r="D19" s="34"/>
      <c r="E19" s="6"/>
      <c r="F19" s="28" t="str">
        <f>[1]Entregas!A16</f>
        <v>Entregas CEF PEQ</v>
      </c>
      <c r="G19" s="25"/>
      <c r="H19" s="11"/>
      <c r="I19" s="29" t="str">
        <f>[1]Pedidos!A16</f>
        <v>Otros</v>
      </c>
      <c r="J19" s="22"/>
      <c r="K19" s="23"/>
      <c r="L19" s="29" t="str">
        <f>[1]Entregas!A41</f>
        <v>Entregas CEF PEQ</v>
      </c>
      <c r="M19" s="25"/>
      <c r="N19" s="11"/>
      <c r="O19" s="24">
        <f>[1]Pedidos!A39</f>
        <v>0</v>
      </c>
      <c r="P19" s="25"/>
      <c r="Q19" s="11"/>
      <c r="R19" s="24" t="str">
        <f>[1]Entregas!A64</f>
        <v>Entregas CEF PEQ</v>
      </c>
      <c r="S19" s="25"/>
      <c r="T19" s="11"/>
      <c r="U19" s="24">
        <f>[1]Pedidos!A62</f>
        <v>0</v>
      </c>
      <c r="V19" s="25"/>
    </row>
    <row r="20" spans="1:22" ht="15.75">
      <c r="A20" s="31">
        <v>20</v>
      </c>
      <c r="B20" s="34"/>
      <c r="C20" s="32"/>
      <c r="D20" s="32">
        <f>SUM([1]Pedidos!F49:F68)</f>
        <v>0</v>
      </c>
      <c r="E20" s="6"/>
      <c r="F20" s="28" t="str">
        <f>[1]Entregas!A17</f>
        <v>Entregas CEF PEQ</v>
      </c>
      <c r="G20" s="25"/>
      <c r="H20" s="11"/>
      <c r="I20" s="29">
        <f>[1]Pedidos!A17</f>
        <v>0</v>
      </c>
      <c r="J20" s="22"/>
      <c r="K20" s="23"/>
      <c r="L20" s="29" t="str">
        <f>[1]Entregas!A42</f>
        <v>Entregas CEF PEQ</v>
      </c>
      <c r="M20" s="25"/>
      <c r="N20" s="11"/>
      <c r="O20" s="24">
        <f>[1]Pedidos!A40</f>
        <v>0</v>
      </c>
      <c r="P20" s="25"/>
      <c r="Q20" s="11"/>
      <c r="R20" s="24" t="str">
        <f>[1]Entregas!A65</f>
        <v>Entregas CEF PEQ</v>
      </c>
      <c r="S20" s="25"/>
      <c r="T20" s="11"/>
      <c r="U20" s="24">
        <f>[1]Pedidos!A63</f>
        <v>0</v>
      </c>
      <c r="V20" s="25"/>
    </row>
    <row r="21" spans="1:22">
      <c r="A21" s="31">
        <v>10</v>
      </c>
      <c r="B21" s="32">
        <f>SUM([1]Pedidos!L3:L22)</f>
        <v>0</v>
      </c>
      <c r="C21" s="32"/>
      <c r="D21" s="32">
        <f>SUM([1]Pedidos!G49:G68)</f>
        <v>0</v>
      </c>
      <c r="E21" s="14"/>
      <c r="F21" s="28" t="str">
        <f>[1]Entregas!A18</f>
        <v xml:space="preserve">BPS </v>
      </c>
      <c r="G21" s="25"/>
      <c r="H21" s="11"/>
      <c r="I21" s="29">
        <f>[1]Pedidos!A18</f>
        <v>0</v>
      </c>
      <c r="J21" s="22"/>
      <c r="K21" s="23"/>
      <c r="L21" s="29" t="str">
        <f>[1]Entregas!A43</f>
        <v xml:space="preserve">BPS </v>
      </c>
      <c r="M21" s="25"/>
      <c r="N21" s="11"/>
      <c r="O21" s="24">
        <f>[1]Pedidos!A41</f>
        <v>0</v>
      </c>
      <c r="P21" s="25"/>
      <c r="Q21" s="11"/>
      <c r="R21" s="24" t="str">
        <f>[1]Entregas!A66</f>
        <v xml:space="preserve">BPS </v>
      </c>
      <c r="S21" s="25"/>
      <c r="T21" s="11"/>
      <c r="U21" s="24">
        <f>[1]Pedidos!A64</f>
        <v>0</v>
      </c>
      <c r="V21" s="25"/>
    </row>
    <row r="22" spans="1:22">
      <c r="A22" s="31">
        <v>5</v>
      </c>
      <c r="B22" s="32">
        <f>SUM([1]Pedidos!M3:M22)</f>
        <v>0</v>
      </c>
      <c r="C22" s="32"/>
      <c r="D22" s="32">
        <f>SUM([1]Pedidos!H49:H68)</f>
        <v>0</v>
      </c>
      <c r="E22" s="14"/>
      <c r="F22" s="28" t="str">
        <f>[1]Entregas!A19</f>
        <v>BPS VALIDACION</v>
      </c>
      <c r="G22" s="25"/>
      <c r="H22" s="11"/>
      <c r="I22" s="29">
        <f>[1]Pedidos!A19</f>
        <v>0</v>
      </c>
      <c r="J22" s="22"/>
      <c r="K22" s="23"/>
      <c r="L22" s="29" t="str">
        <f>[1]Entregas!A44</f>
        <v>BPS VALIDACION</v>
      </c>
      <c r="M22" s="25"/>
      <c r="N22" s="11"/>
      <c r="O22" s="24">
        <f>[1]Pedidos!A42</f>
        <v>0</v>
      </c>
      <c r="P22" s="25"/>
      <c r="Q22" s="11"/>
      <c r="R22" s="24" t="str">
        <f>[1]Entregas!A67</f>
        <v>Saldos digitacion</v>
      </c>
      <c r="S22" s="25"/>
      <c r="T22" s="11"/>
      <c r="U22" s="24">
        <f>[1]Pedidos!A65</f>
        <v>0</v>
      </c>
      <c r="V22" s="25"/>
    </row>
    <row r="23" spans="1:22" ht="15.75">
      <c r="A23" s="31">
        <v>1</v>
      </c>
      <c r="B23" s="34"/>
      <c r="C23" s="32"/>
      <c r="D23" s="33"/>
      <c r="E23" s="14"/>
      <c r="F23" s="28" t="str">
        <f>[1]Entregas!A20</f>
        <v>Entrega Níquel</v>
      </c>
      <c r="G23" s="25"/>
      <c r="H23" s="11"/>
      <c r="I23" s="29" t="str">
        <f>[1]Pedidos!A20</f>
        <v>Exportación</v>
      </c>
      <c r="J23" s="22"/>
      <c r="K23" s="23"/>
      <c r="L23" s="29" t="str">
        <f>[1]Entregas!A45</f>
        <v>Entrega Níquel</v>
      </c>
      <c r="M23" s="25"/>
      <c r="N23" s="11"/>
      <c r="O23" s="24" t="str">
        <f>[1]Pedidos!A43</f>
        <v>Exportación</v>
      </c>
      <c r="P23" s="25"/>
      <c r="Q23" s="11"/>
      <c r="R23" s="24" t="str">
        <f>[1]Entregas!A68</f>
        <v>Entrega Níquel</v>
      </c>
      <c r="S23" s="25"/>
      <c r="T23" s="11"/>
      <c r="U23" s="24" t="str">
        <f>[1]Pedidos!A66</f>
        <v>Exportación</v>
      </c>
      <c r="V23" s="25"/>
    </row>
    <row r="24" spans="1:22">
      <c r="A24" s="35" t="s">
        <v>19</v>
      </c>
      <c r="B24" s="32"/>
      <c r="C24" s="32"/>
      <c r="D24" s="32">
        <f>SUM([1]Pedidos!I49:I68)</f>
        <v>0</v>
      </c>
      <c r="E24" s="14"/>
      <c r="F24" s="28" t="str">
        <f>[1]Entregas!A21</f>
        <v>Bancos</v>
      </c>
      <c r="G24" s="25"/>
      <c r="H24" s="11"/>
      <c r="I24" s="29" t="str">
        <f>[1]Pedidos!A21</f>
        <v>Bancos</v>
      </c>
      <c r="J24" s="22"/>
      <c r="K24" s="23"/>
      <c r="L24" s="29" t="str">
        <f>[1]Entregas!A46</f>
        <v>Bancos</v>
      </c>
      <c r="M24" s="25"/>
      <c r="N24" s="11"/>
      <c r="O24" s="24" t="str">
        <f>[1]Pedidos!A44</f>
        <v>Bancos</v>
      </c>
      <c r="P24" s="25"/>
      <c r="Q24" s="11"/>
      <c r="R24" s="24" t="str">
        <f>[1]Entregas!A69</f>
        <v>Bancos</v>
      </c>
      <c r="S24" s="25"/>
      <c r="T24" s="11"/>
      <c r="U24" s="24" t="str">
        <f>[1]Pedidos!A67</f>
        <v>Bancos</v>
      </c>
      <c r="V24" s="25"/>
    </row>
    <row r="25" spans="1:22">
      <c r="A25" s="35" t="s">
        <v>20</v>
      </c>
      <c r="B25" s="36">
        <f>SUM([1]Pedidos!O3:O22)</f>
        <v>0</v>
      </c>
      <c r="C25" s="32"/>
      <c r="D25" s="32">
        <f>SUM([1]Pedidos!J49:J68)</f>
        <v>0</v>
      </c>
      <c r="E25" s="14"/>
      <c r="F25" s="37" t="str">
        <f>[1]Entregas!A22</f>
        <v>CAN</v>
      </c>
      <c r="G25" s="38"/>
      <c r="H25" s="11"/>
      <c r="I25" s="39" t="str">
        <f>[1]Pedidos!A22</f>
        <v>CAN</v>
      </c>
      <c r="J25" s="22"/>
      <c r="K25" s="40"/>
      <c r="L25" s="39" t="str">
        <f>[1]Entregas!A47</f>
        <v>CAN</v>
      </c>
      <c r="M25" s="38"/>
      <c r="N25" s="11"/>
      <c r="O25" s="24" t="str">
        <f>[1]Pedidos!A45</f>
        <v>CAN</v>
      </c>
      <c r="P25" s="25"/>
      <c r="Q25" s="11"/>
      <c r="R25" s="24" t="str">
        <f>[1]Entregas!A70</f>
        <v>CAN</v>
      </c>
      <c r="S25" s="25"/>
      <c r="T25" s="11"/>
      <c r="U25" s="24" t="str">
        <f>[1]Pedidos!A68</f>
        <v>CAN</v>
      </c>
      <c r="V25" s="25"/>
    </row>
    <row r="26" spans="1:22" ht="15.75">
      <c r="A26" s="41" t="s">
        <v>21</v>
      </c>
      <c r="B26" s="42">
        <f>+SUM(B9:B25)</f>
        <v>0</v>
      </c>
      <c r="C26" s="43">
        <f>SUM(C9:C25)</f>
        <v>0</v>
      </c>
      <c r="D26" s="43">
        <f>SUM(D9:D25)</f>
        <v>0</v>
      </c>
      <c r="E26" s="6"/>
      <c r="F26" s="44" t="s">
        <v>22</v>
      </c>
      <c r="G26" s="45">
        <f>SUM(G6:G25)</f>
        <v>0</v>
      </c>
      <c r="H26" s="11"/>
      <c r="I26" s="44" t="s">
        <v>22</v>
      </c>
      <c r="J26" s="45">
        <f>SUM(J6:J25)</f>
        <v>0</v>
      </c>
      <c r="K26" s="40"/>
      <c r="L26" s="44" t="s">
        <v>22</v>
      </c>
      <c r="M26" s="45">
        <f>SUM(M6:M25)</f>
        <v>0</v>
      </c>
      <c r="N26" s="11"/>
      <c r="O26" s="44" t="s">
        <v>22</v>
      </c>
      <c r="P26" s="45">
        <f>SUM(P6:P25)</f>
        <v>0</v>
      </c>
      <c r="Q26" s="11"/>
      <c r="R26" s="44" t="s">
        <v>22</v>
      </c>
      <c r="S26" s="45">
        <f>SUM(S6:S25)</f>
        <v>0</v>
      </c>
      <c r="T26" s="11"/>
      <c r="U26" s="44" t="s">
        <v>22</v>
      </c>
      <c r="V26" s="45">
        <f>SUM(V6:V25)</f>
        <v>0</v>
      </c>
    </row>
    <row r="27" spans="1:22">
      <c r="E27" s="14"/>
      <c r="F27" s="46"/>
      <c r="G27" s="40"/>
      <c r="H27" s="11"/>
      <c r="I27" s="46"/>
      <c r="J27" s="40"/>
      <c r="K27" s="40"/>
      <c r="L27" s="46"/>
      <c r="M27" s="40"/>
      <c r="N27" s="11"/>
      <c r="O27" s="46"/>
      <c r="P27" s="40"/>
      <c r="Q27" s="11"/>
      <c r="R27" s="46"/>
      <c r="S27" s="40"/>
      <c r="T27" s="11"/>
      <c r="U27" s="46"/>
      <c r="V27" s="40"/>
    </row>
    <row r="28" spans="1:22" ht="15.75">
      <c r="A28" s="6"/>
      <c r="C28" s="27" t="s">
        <v>23</v>
      </c>
      <c r="E28" s="14"/>
      <c r="F28" s="46"/>
      <c r="G28" s="40"/>
      <c r="H28" s="11"/>
      <c r="I28" s="46"/>
      <c r="J28" s="40"/>
      <c r="K28" s="40"/>
      <c r="L28" s="46"/>
      <c r="M28" s="40"/>
      <c r="N28" s="11"/>
      <c r="O28" s="46"/>
      <c r="P28" s="40"/>
      <c r="Q28" s="11"/>
      <c r="R28" s="46"/>
      <c r="S28" s="40"/>
      <c r="T28" s="11"/>
      <c r="U28" s="46"/>
      <c r="V28" s="40"/>
    </row>
    <row r="29" spans="1:22" ht="15.75">
      <c r="A29" s="30" t="s">
        <v>24</v>
      </c>
      <c r="B29" s="7" t="s">
        <v>2</v>
      </c>
      <c r="C29" s="7" t="s">
        <v>3</v>
      </c>
      <c r="D29" s="7" t="s">
        <v>4</v>
      </c>
      <c r="E29" s="14"/>
      <c r="F29" s="46"/>
      <c r="G29" s="40"/>
      <c r="H29" s="11"/>
      <c r="I29" s="46"/>
      <c r="J29" s="40"/>
      <c r="K29" s="40"/>
      <c r="L29" s="46"/>
      <c r="M29" s="40"/>
      <c r="N29" s="11"/>
      <c r="O29" s="46"/>
      <c r="P29" s="40"/>
      <c r="Q29" s="11"/>
      <c r="R29" s="46"/>
      <c r="S29" s="40"/>
      <c r="T29" s="11"/>
      <c r="U29" s="46"/>
      <c r="V29" s="40"/>
    </row>
    <row r="30" spans="1:22" ht="15.75">
      <c r="A30" s="31">
        <v>50000</v>
      </c>
      <c r="B30" s="32"/>
      <c r="C30" s="33"/>
      <c r="D30" s="34"/>
      <c r="E30" s="14"/>
      <c r="F30" s="46"/>
      <c r="G30" s="40"/>
      <c r="H30" s="11"/>
      <c r="I30" s="46"/>
      <c r="J30" s="40"/>
      <c r="K30" s="40"/>
      <c r="L30" s="46"/>
      <c r="M30" s="40"/>
      <c r="N30" s="11"/>
      <c r="O30" s="46"/>
      <c r="P30" s="40"/>
      <c r="Q30" s="11"/>
      <c r="R30" s="46"/>
      <c r="S30" s="40"/>
      <c r="T30" s="11"/>
      <c r="U30" s="46"/>
      <c r="V30" s="40"/>
    </row>
    <row r="31" spans="1:22" ht="15.75">
      <c r="A31" s="31">
        <v>20000</v>
      </c>
      <c r="B31" s="32"/>
      <c r="C31" s="33"/>
      <c r="D31" s="34"/>
      <c r="E31" s="14"/>
      <c r="H31" s="47"/>
      <c r="K31" s="48"/>
      <c r="N31" s="47"/>
      <c r="Q31" s="47"/>
      <c r="T31" s="47"/>
    </row>
    <row r="32" spans="1:22" ht="15.75">
      <c r="A32" s="31">
        <v>10000</v>
      </c>
      <c r="B32" s="32"/>
      <c r="C32" s="33"/>
      <c r="D32" s="34"/>
      <c r="E32" s="14"/>
      <c r="F32" s="49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ht="15.75">
      <c r="A33" s="31">
        <v>5000</v>
      </c>
      <c r="B33" s="32"/>
      <c r="C33" s="33"/>
      <c r="D33" s="34"/>
      <c r="E33" s="14"/>
      <c r="F33" s="50"/>
      <c r="G33" s="51"/>
      <c r="H33" s="51"/>
      <c r="I33" s="51"/>
      <c r="J33" s="51"/>
      <c r="K33" s="51"/>
      <c r="L33" s="5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ht="15.75">
      <c r="A34" s="31">
        <v>2000</v>
      </c>
      <c r="B34" s="32"/>
      <c r="C34" s="33"/>
      <c r="D34" s="34"/>
      <c r="E34" s="14"/>
      <c r="F34" s="5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ht="15.75">
      <c r="A35" s="31">
        <v>1000</v>
      </c>
      <c r="B35" s="32"/>
      <c r="C35" s="33"/>
      <c r="D35" s="34"/>
      <c r="E35" s="14"/>
      <c r="F35" s="5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ht="15.75">
      <c r="A36" s="31">
        <v>500</v>
      </c>
      <c r="B36" s="32"/>
      <c r="C36" s="33"/>
      <c r="D36" s="32">
        <f>SUM([1]Entregas!B51:B70)</f>
        <v>0</v>
      </c>
      <c r="E36" s="14"/>
      <c r="F36" s="5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ht="15.75">
      <c r="A37" s="31">
        <v>200</v>
      </c>
      <c r="B37" s="34"/>
      <c r="C37" s="33"/>
      <c r="D37" s="32">
        <f>SUM([1]Entregas!C51:C70)</f>
        <v>0</v>
      </c>
      <c r="E37" s="14"/>
      <c r="F37" s="5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>
      <c r="A38" s="31">
        <v>100</v>
      </c>
      <c r="B38" s="32">
        <f>SUM([1]Entregas!I3:I22)</f>
        <v>0</v>
      </c>
      <c r="C38" s="32"/>
      <c r="D38" s="32">
        <f>SUM([1]Entregas!D51:D70)</f>
        <v>0</v>
      </c>
      <c r="E38" s="14"/>
      <c r="F38" s="5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>
      <c r="A39" s="31">
        <v>50</v>
      </c>
      <c r="B39" s="32">
        <f>SUM([1]Entregas!J3:J22)</f>
        <v>0</v>
      </c>
      <c r="C39" s="32"/>
      <c r="D39" s="32">
        <f>SUM([1]Entregas!E51:E70)</f>
        <v>0</v>
      </c>
      <c r="E39" s="14"/>
      <c r="F39" s="5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ht="15.75">
      <c r="A40" s="31">
        <v>25</v>
      </c>
      <c r="B40" s="32">
        <f>SUM([1]Entregas!K3:K22)</f>
        <v>0</v>
      </c>
      <c r="C40" s="33"/>
      <c r="D40" s="34"/>
      <c r="E40" s="6"/>
      <c r="F40" s="5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ht="15.75">
      <c r="A41" s="31">
        <v>20</v>
      </c>
      <c r="B41" s="34"/>
      <c r="C41" s="32"/>
      <c r="D41" s="32">
        <f>SUM([1]Entregas!F51:F70)</f>
        <v>0</v>
      </c>
      <c r="E41" s="14"/>
      <c r="F41" s="5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>
      <c r="A42" s="31">
        <v>10</v>
      </c>
      <c r="B42" s="32">
        <f>SUM([1]Entregas!L3:L22)</f>
        <v>0</v>
      </c>
      <c r="C42" s="32"/>
      <c r="D42" s="32">
        <f>SUM([1]Entregas!G51:G70)</f>
        <v>0</v>
      </c>
      <c r="E42" s="6"/>
      <c r="F42" s="5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>
      <c r="A43" s="31">
        <v>5</v>
      </c>
      <c r="B43" s="32">
        <f>SUM([1]Entregas!M3:M22)</f>
        <v>0</v>
      </c>
      <c r="C43" s="32"/>
      <c r="D43" s="32">
        <f>SUM([1]Entregas!H51:H70)</f>
        <v>0</v>
      </c>
      <c r="E43" s="6"/>
      <c r="F43" s="5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ht="15.75">
      <c r="A44" s="31">
        <v>1</v>
      </c>
      <c r="B44" s="34"/>
      <c r="C44" s="32"/>
      <c r="D44" s="33"/>
      <c r="E44" s="6"/>
      <c r="F44" s="5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>
      <c r="A45" s="35" t="s">
        <v>19</v>
      </c>
      <c r="B45" s="32"/>
      <c r="C45" s="32"/>
      <c r="D45" s="32"/>
      <c r="E45" s="6"/>
      <c r="F45" s="5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>
      <c r="A46" s="35" t="s">
        <v>20</v>
      </c>
      <c r="B46" s="32">
        <f>SUM([1]Entregas!O3:O22)</f>
        <v>0</v>
      </c>
      <c r="C46" s="32"/>
      <c r="D46" s="32">
        <f>SUM([1]Entregas!J51:J70)</f>
        <v>0</v>
      </c>
      <c r="E46" s="6"/>
      <c r="F46" s="5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ht="15.75">
      <c r="A47" s="41" t="s">
        <v>25</v>
      </c>
      <c r="B47" s="43">
        <f>SUM(B30:B46)</f>
        <v>0</v>
      </c>
      <c r="C47" s="43">
        <f>SUM(C30:C45)</f>
        <v>0</v>
      </c>
      <c r="D47" s="43">
        <f>SUM(D30:D45)</f>
        <v>0</v>
      </c>
      <c r="E47" s="6"/>
      <c r="F47" s="5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>
      <c r="E48" s="6"/>
      <c r="F48" s="5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t="15.75" thickBot="1">
      <c r="A49" s="53"/>
      <c r="B49" s="7" t="s">
        <v>2</v>
      </c>
      <c r="C49" s="7" t="s">
        <v>3</v>
      </c>
      <c r="D49" s="7" t="s">
        <v>4</v>
      </c>
      <c r="E49" s="14"/>
      <c r="F49" s="5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t="16.5" thickBot="1">
      <c r="A50" s="54" t="s">
        <v>26</v>
      </c>
      <c r="B50" s="55">
        <f>+B5-B26+B47</f>
        <v>0</v>
      </c>
      <c r="C50" s="55">
        <f>+C5-C26+C47</f>
        <v>0</v>
      </c>
      <c r="D50" s="55">
        <f>+D5-D26+D47</f>
        <v>0</v>
      </c>
      <c r="E50" s="14"/>
      <c r="F50" s="5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t="15.75">
      <c r="A51" s="56"/>
      <c r="B51" s="47"/>
      <c r="C51" s="47"/>
      <c r="D51" s="57"/>
      <c r="E51" s="14"/>
      <c r="F51" s="5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>
      <c r="A52" s="58"/>
      <c r="B52" s="6"/>
      <c r="C52" s="6"/>
      <c r="D52" s="6"/>
      <c r="E52" s="14"/>
      <c r="F52" s="5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t="16.5" thickBot="1">
      <c r="A53" s="59"/>
      <c r="B53" s="60"/>
      <c r="C53" s="60"/>
      <c r="D53" s="60"/>
      <c r="E53" s="14"/>
      <c r="F53" s="5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t="16.5" thickBot="1">
      <c r="A54" s="61" t="s">
        <v>27</v>
      </c>
      <c r="B54" s="61"/>
      <c r="C54" s="61"/>
      <c r="D54" s="62"/>
      <c r="E54" s="14"/>
      <c r="F54" s="5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t="15.75">
      <c r="A55" s="59"/>
      <c r="B55" s="60"/>
      <c r="C55" s="60"/>
      <c r="D55" s="60"/>
      <c r="E55" s="14"/>
      <c r="F55" s="63"/>
      <c r="G55" s="47"/>
      <c r="H55" s="47"/>
      <c r="I55" s="47"/>
      <c r="J55" s="47"/>
      <c r="K55" s="47"/>
      <c r="L55" s="47"/>
      <c r="M55" s="11"/>
      <c r="N55" s="11"/>
      <c r="O55" s="11"/>
      <c r="P55" s="11"/>
      <c r="Q55" s="11"/>
      <c r="R55" s="11"/>
      <c r="S55" s="11"/>
      <c r="T55" s="11"/>
      <c r="U55" s="11"/>
    </row>
    <row r="56" spans="1:22">
      <c r="A56" s="64" t="s">
        <v>28</v>
      </c>
      <c r="B56" s="64"/>
      <c r="C56" s="64" t="s">
        <v>29</v>
      </c>
      <c r="D56" s="64"/>
      <c r="E56" s="14"/>
    </row>
    <row r="57" spans="1:22" ht="15.75">
      <c r="A57" s="59"/>
      <c r="B57" s="60"/>
      <c r="C57" s="59"/>
      <c r="D57" s="60"/>
      <c r="E57" s="14"/>
      <c r="F57" s="49"/>
      <c r="G57" s="11"/>
      <c r="H57" s="11"/>
      <c r="I57" s="11"/>
      <c r="J57" s="11"/>
      <c r="K57" s="11"/>
      <c r="L57" s="11"/>
    </row>
    <row r="58" spans="1:22" ht="15.75">
      <c r="A58" s="65"/>
      <c r="B58" s="65"/>
      <c r="C58" s="65"/>
      <c r="D58" s="65"/>
      <c r="E58" s="14"/>
      <c r="F58" s="59"/>
      <c r="G58" s="47"/>
      <c r="H58" s="47"/>
      <c r="I58" s="47"/>
      <c r="J58" s="47"/>
      <c r="K58" s="47"/>
      <c r="L58" s="47"/>
    </row>
    <row r="59" spans="1:22" ht="16.5" thickBot="1">
      <c r="A59" s="59"/>
      <c r="B59" s="60"/>
      <c r="C59" s="60"/>
      <c r="D59" s="60"/>
      <c r="E59" s="14"/>
    </row>
    <row r="60" spans="1:22" ht="16.5" thickBot="1">
      <c r="A60" s="61" t="s">
        <v>30</v>
      </c>
      <c r="B60" s="61"/>
      <c r="C60" s="61"/>
      <c r="D60" s="62">
        <f>D54+A58-C58</f>
        <v>0</v>
      </c>
      <c r="E60" s="14"/>
    </row>
    <row r="61" spans="1:22" ht="15.75">
      <c r="A61" s="59"/>
      <c r="B61" s="60"/>
      <c r="C61" s="60"/>
      <c r="D61" s="60"/>
      <c r="E61" s="14"/>
      <c r="F61" s="49"/>
      <c r="G61" s="18"/>
      <c r="H61" s="18"/>
      <c r="I61" s="18"/>
      <c r="J61" s="18"/>
      <c r="K61" s="18"/>
      <c r="L61" s="18"/>
    </row>
    <row r="62" spans="1:22">
      <c r="A62" s="66"/>
      <c r="E62" s="14"/>
    </row>
    <row r="63" spans="1:22" ht="15.75">
      <c r="A63" s="67" t="s">
        <v>31</v>
      </c>
      <c r="B63" s="68">
        <f>D60+B65</f>
        <v>0</v>
      </c>
      <c r="C63" s="68">
        <f>+C50</f>
        <v>0</v>
      </c>
      <c r="D63" s="68">
        <f>+D50</f>
        <v>0</v>
      </c>
      <c r="E63" s="14"/>
    </row>
    <row r="64" spans="1:22" ht="15.75">
      <c r="A64" s="69"/>
      <c r="B64" s="47"/>
      <c r="C64" s="47"/>
      <c r="D64" s="47"/>
      <c r="E64" s="14"/>
    </row>
    <row r="65" spans="1:5" ht="15.75">
      <c r="A65" s="67" t="s">
        <v>32</v>
      </c>
      <c r="B65" s="68">
        <f>+B50</f>
        <v>0</v>
      </c>
      <c r="C65" s="68">
        <f>+C50</f>
        <v>0</v>
      </c>
      <c r="D65" s="68">
        <f>+D50</f>
        <v>0</v>
      </c>
      <c r="E65" s="14"/>
    </row>
    <row r="66" spans="1:5" ht="15.75">
      <c r="A66" s="56"/>
      <c r="B66" s="47"/>
      <c r="C66" s="47"/>
      <c r="D66" s="47"/>
      <c r="E66" s="14"/>
    </row>
    <row r="67" spans="1:5">
      <c r="A67" s="70" t="s">
        <v>33</v>
      </c>
      <c r="B67" s="70"/>
      <c r="C67" s="70"/>
      <c r="D67" s="60"/>
      <c r="E67" s="14"/>
    </row>
    <row r="68" spans="1:5" ht="15.75">
      <c r="A68" s="56"/>
      <c r="B68" s="47"/>
      <c r="C68" s="47"/>
      <c r="D68" s="47"/>
      <c r="E68" s="14"/>
    </row>
    <row r="69" spans="1:5" ht="15.75">
      <c r="A69" s="59"/>
      <c r="B69" s="60"/>
      <c r="C69" s="60"/>
      <c r="D69" s="60" t="s">
        <v>34</v>
      </c>
      <c r="E69" s="14"/>
    </row>
    <row r="70" spans="1:5" ht="15.75">
      <c r="A70" s="71" t="s">
        <v>16</v>
      </c>
      <c r="B70" s="71"/>
      <c r="C70" s="72" t="s">
        <v>16</v>
      </c>
      <c r="D70" s="72"/>
      <c r="E70" s="6" t="s">
        <v>35</v>
      </c>
    </row>
    <row r="71" spans="1:5" ht="15.75">
      <c r="A71" s="59"/>
      <c r="B71" s="60"/>
      <c r="C71" s="60"/>
      <c r="D71" s="60"/>
      <c r="E71" s="14"/>
    </row>
    <row r="72" spans="1:5" ht="15.75">
      <c r="A72" s="59"/>
      <c r="B72" s="60"/>
      <c r="C72" s="60"/>
      <c r="D72" s="60"/>
      <c r="E72" s="14"/>
    </row>
    <row r="73" spans="1:5" ht="15.75">
      <c r="A73" s="56"/>
      <c r="B73" s="47"/>
      <c r="C73" s="47"/>
      <c r="D73" s="47"/>
      <c r="E73" s="6"/>
    </row>
    <row r="74" spans="1:5" ht="15.75">
      <c r="A74" s="56"/>
      <c r="B74" s="47"/>
      <c r="C74" s="47"/>
      <c r="D74" s="47"/>
      <c r="E74" s="6"/>
    </row>
    <row r="75" spans="1:5">
      <c r="A75" s="14"/>
      <c r="B75" s="14"/>
      <c r="C75" s="14"/>
      <c r="D75" s="14"/>
    </row>
    <row r="76" spans="1:5" ht="15.75">
      <c r="A76" s="56"/>
      <c r="B76" s="47"/>
      <c r="C76" s="47"/>
      <c r="D76" s="47"/>
    </row>
    <row r="77" spans="1:5">
      <c r="A77" s="14"/>
      <c r="B77" s="18"/>
      <c r="C77" s="18"/>
      <c r="D77" s="18"/>
    </row>
    <row r="78" spans="1:5" ht="15.75">
      <c r="A78" s="56"/>
      <c r="B78" s="47"/>
      <c r="C78" s="47"/>
      <c r="D78" s="47"/>
    </row>
    <row r="79" spans="1:5">
      <c r="B79" s="60"/>
      <c r="C79" s="60"/>
      <c r="D79" s="60"/>
    </row>
    <row r="80" spans="1:5">
      <c r="B80" s="60"/>
      <c r="C80" s="60"/>
      <c r="D80" s="60"/>
    </row>
    <row r="81" spans="2:4">
      <c r="B81" s="60"/>
      <c r="C81" s="60"/>
      <c r="D81" s="60"/>
    </row>
    <row r="82" spans="2:4">
      <c r="B82" s="60"/>
      <c r="C82" s="60"/>
      <c r="D82" s="60"/>
    </row>
    <row r="147" spans="6:12">
      <c r="F147" s="49"/>
      <c r="G147" s="18"/>
      <c r="H147" s="18"/>
      <c r="I147" s="18"/>
      <c r="J147" s="18"/>
      <c r="K147" s="18"/>
      <c r="L147" s="18"/>
    </row>
    <row r="148" spans="6:12">
      <c r="F148" s="49"/>
      <c r="G148" s="18"/>
      <c r="H148" s="18"/>
      <c r="I148" s="18"/>
      <c r="J148" s="18"/>
      <c r="K148" s="18"/>
      <c r="L148" s="18"/>
    </row>
    <row r="149" spans="6:12">
      <c r="F149" s="49"/>
      <c r="G149" s="18"/>
      <c r="H149" s="18"/>
      <c r="I149" s="18"/>
      <c r="J149" s="18"/>
      <c r="K149" s="18"/>
      <c r="L149" s="18"/>
    </row>
    <row r="150" spans="6:12">
      <c r="F150" s="49"/>
      <c r="G150" s="18"/>
      <c r="H150" s="18"/>
      <c r="I150" s="18"/>
      <c r="J150" s="18"/>
      <c r="K150" s="18"/>
      <c r="L150" s="18"/>
    </row>
    <row r="151" spans="6:12" ht="15.75">
      <c r="F151" s="59"/>
      <c r="G151" s="47"/>
      <c r="H151" s="47"/>
      <c r="I151" s="47"/>
      <c r="J151" s="47"/>
      <c r="K151" s="47"/>
      <c r="L151" s="47"/>
    </row>
    <row r="152" spans="6:12">
      <c r="F152" s="49"/>
      <c r="G152" s="18"/>
      <c r="H152" s="18"/>
      <c r="I152" s="18"/>
      <c r="J152" s="18"/>
      <c r="K152" s="18"/>
      <c r="L152" s="18"/>
    </row>
    <row r="153" spans="6:12">
      <c r="F153" s="49"/>
      <c r="G153" s="18"/>
      <c r="H153" s="18"/>
      <c r="I153" s="18"/>
      <c r="J153" s="18"/>
      <c r="K153" s="18"/>
      <c r="L153" s="18"/>
    </row>
    <row r="154" spans="6:12">
      <c r="F154" s="49"/>
      <c r="G154" s="18"/>
      <c r="H154" s="18"/>
      <c r="I154" s="18"/>
      <c r="J154" s="18"/>
      <c r="K154" s="18"/>
      <c r="L154" s="18"/>
    </row>
    <row r="155" spans="6:12">
      <c r="F155" s="49"/>
      <c r="G155" s="18"/>
      <c r="H155" s="18"/>
      <c r="I155" s="18"/>
      <c r="J155" s="18"/>
      <c r="K155" s="18"/>
      <c r="L155" s="18"/>
    </row>
    <row r="156" spans="6:12">
      <c r="F156" s="49"/>
      <c r="G156" s="18"/>
      <c r="H156" s="18"/>
      <c r="I156" s="18"/>
      <c r="J156" s="18"/>
      <c r="K156" s="18"/>
      <c r="L156" s="18"/>
    </row>
    <row r="157" spans="6:12">
      <c r="F157" s="49"/>
      <c r="G157" s="18"/>
      <c r="H157" s="18"/>
      <c r="I157" s="18"/>
      <c r="J157" s="18"/>
      <c r="K157" s="18"/>
      <c r="L157" s="18"/>
    </row>
    <row r="158" spans="6:12">
      <c r="F158" s="49"/>
      <c r="G158" s="18"/>
      <c r="H158" s="18"/>
      <c r="I158" s="18"/>
      <c r="J158" s="18"/>
      <c r="K158" s="18"/>
      <c r="L158" s="18"/>
    </row>
    <row r="159" spans="6:12" ht="15.75">
      <c r="F159" s="59"/>
      <c r="G159" s="47"/>
      <c r="H159" s="47"/>
      <c r="I159" s="47"/>
      <c r="J159" s="47"/>
      <c r="K159" s="47"/>
      <c r="L159" s="47"/>
    </row>
    <row r="160" spans="6:12">
      <c r="F160" s="3" t="s">
        <v>1</v>
      </c>
      <c r="G160" s="60"/>
      <c r="H160" s="60"/>
      <c r="I160" s="60"/>
    </row>
    <row r="161" spans="7:12">
      <c r="G161" s="60"/>
      <c r="H161" s="60"/>
      <c r="I161" s="60"/>
    </row>
    <row r="162" spans="7:12">
      <c r="G162" s="60" t="s">
        <v>16</v>
      </c>
      <c r="H162" s="60"/>
      <c r="I162" s="60"/>
      <c r="J162" s="60"/>
      <c r="K162" s="60"/>
      <c r="L162" s="60"/>
    </row>
    <row r="163" spans="7:12">
      <c r="G163" s="60"/>
      <c r="H163" s="60"/>
      <c r="I163" s="60"/>
      <c r="J163" s="60"/>
      <c r="K163" s="60"/>
      <c r="L163" s="60"/>
    </row>
    <row r="164" spans="7:12">
      <c r="G164" s="60"/>
      <c r="H164" s="60"/>
      <c r="I164" s="60"/>
      <c r="J164" s="60"/>
      <c r="K164" s="60"/>
      <c r="L164" s="60"/>
    </row>
    <row r="165" spans="7:12">
      <c r="G165" s="60" t="s">
        <v>36</v>
      </c>
      <c r="H165" s="60"/>
      <c r="I165" s="60"/>
      <c r="J165" s="60"/>
      <c r="K165" s="60"/>
      <c r="L165" s="60"/>
    </row>
    <row r="166" spans="7:12">
      <c r="G166" s="60"/>
      <c r="H166" s="60"/>
      <c r="I166" s="60"/>
      <c r="J166" s="60"/>
      <c r="K166" s="60"/>
      <c r="L166" s="60"/>
    </row>
    <row r="167" spans="7:12">
      <c r="G167" s="60"/>
      <c r="H167" s="60"/>
      <c r="I167" s="60"/>
      <c r="J167" s="60"/>
      <c r="K167" s="60"/>
      <c r="L167" s="60"/>
    </row>
    <row r="168" spans="7:12">
      <c r="G168" s="60"/>
      <c r="H168" s="60"/>
      <c r="I168" s="60"/>
      <c r="J168" s="60"/>
      <c r="K168" s="60"/>
      <c r="L168" s="60"/>
    </row>
    <row r="350" spans="10:10">
      <c r="J350" s="3" t="s">
        <v>34</v>
      </c>
    </row>
  </sheetData>
  <mergeCells count="14">
    <mergeCell ref="A70:B70"/>
    <mergeCell ref="C70:D70"/>
    <mergeCell ref="A56:B56"/>
    <mergeCell ref="C56:D56"/>
    <mergeCell ref="A58:B58"/>
    <mergeCell ref="C58:D58"/>
    <mergeCell ref="A60:C60"/>
    <mergeCell ref="A67:C67"/>
    <mergeCell ref="A1:J1"/>
    <mergeCell ref="A2:J2"/>
    <mergeCell ref="F4:J4"/>
    <mergeCell ref="L4:P4"/>
    <mergeCell ref="R4:V4"/>
    <mergeCell ref="A54:C5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Chavarria Ramirez</dc:creator>
  <cp:lastModifiedBy>Erick Chavarria Ramirez</cp:lastModifiedBy>
  <dcterms:created xsi:type="dcterms:W3CDTF">2016-06-10T16:34:25Z</dcterms:created>
  <dcterms:modified xsi:type="dcterms:W3CDTF">2016-06-10T16:48:34Z</dcterms:modified>
</cp:coreProperties>
</file>