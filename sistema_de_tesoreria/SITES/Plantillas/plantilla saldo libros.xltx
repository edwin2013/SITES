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20" windowWidth="28515" windowHeight="12585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E47" i="1" l="1"/>
  <c r="E46" i="1"/>
  <c r="C46" i="1"/>
  <c r="E45" i="1"/>
  <c r="C45" i="1"/>
  <c r="E44" i="1"/>
  <c r="F43" i="1"/>
  <c r="D43" i="1"/>
  <c r="C43" i="1"/>
  <c r="F42" i="1"/>
  <c r="C42" i="1"/>
  <c r="F41" i="1"/>
  <c r="C41" i="1"/>
  <c r="D40" i="1"/>
  <c r="F39" i="1"/>
  <c r="C39" i="1"/>
  <c r="E38" i="1"/>
  <c r="E37" i="1"/>
  <c r="E36" i="1"/>
  <c r="E35" i="1"/>
  <c r="E34" i="1"/>
  <c r="D34" i="1"/>
  <c r="E33" i="1"/>
  <c r="D33" i="1"/>
  <c r="C51" i="1"/>
  <c r="B29" i="1"/>
  <c r="F24" i="1"/>
  <c r="E24" i="1"/>
  <c r="D24" i="1"/>
  <c r="C24" i="1"/>
  <c r="F51" i="1" l="1"/>
  <c r="E51" i="1"/>
  <c r="D51" i="1"/>
</calcChain>
</file>

<file path=xl/sharedStrings.xml><?xml version="1.0" encoding="utf-8"?>
<sst xmlns="http://schemas.openxmlformats.org/spreadsheetml/2006/main" count="20" uniqueCount="12">
  <si>
    <t>Saldo de Boveda Inicial</t>
  </si>
  <si>
    <t>Denominacion</t>
  </si>
  <si>
    <t>Boveda Colones</t>
  </si>
  <si>
    <t>Boveda Dolares</t>
  </si>
  <si>
    <t>Boveda Euros</t>
  </si>
  <si>
    <t>Custodia Auxiliar Numerario ¢</t>
  </si>
  <si>
    <t>Cola</t>
  </si>
  <si>
    <t>Mutilado</t>
  </si>
  <si>
    <t xml:space="preserve">                                                                                                                                                                                                                                    </t>
  </si>
  <si>
    <t>Saldo</t>
  </si>
  <si>
    <t>Saldo de Boveda Final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</si>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</sst>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d&quot;, &quot;mmmm\ dd&quot;, &quot;yyyy"/>
  </numFmts>
  <fonts count="5">
    <font>
      <sz val="11"/>
      <color theme="1"/>
      <name val="Calibri"/>
      <family val="2"/>
      <scheme val="minor"/>
    </font>
    <font>
      <sz val="10"/>
      <name val="Draft 12cpi"/>
    </font>
    <font>
      <b/>
      <i/>
      <sz val="12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8"/>
        <bgColor indexed="58"/>
      </patternFill>
    </fill>
    <fill>
      <patternFill patternType="solid">
        <fgColor theme="1" tint="0.499984740745262"/>
        <bgColor indexed="55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indexed="23"/>
        <bgColor indexed="55"/>
      </patternFill>
    </fill>
    <fill>
      <patternFill patternType="solid">
        <fgColor theme="1" tint="0.499984740745262"/>
        <bgColor indexed="26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4" fontId="2" fillId="2" borderId="0" xfId="1" applyNumberFormat="1" applyFont="1" applyFill="1" applyBorder="1" applyAlignment="1" applyProtection="1">
      <alignment horizontal="center" vertical="center" wrapText="1"/>
    </xf>
    <xf numFmtId="0" fontId="0" fillId="2" borderId="0" xfId="1" applyFont="1" applyFill="1" applyAlignment="1" applyProtection="1">
      <alignment horizontal="center" vertical="center" wrapText="1"/>
    </xf>
    <xf numFmtId="164" fontId="2" fillId="2" borderId="1" xfId="1" applyNumberFormat="1" applyFont="1" applyFill="1" applyBorder="1" applyAlignment="1" applyProtection="1">
      <alignment horizontal="center" vertical="center" wrapText="1"/>
    </xf>
    <xf numFmtId="164" fontId="2" fillId="2" borderId="2" xfId="1" applyNumberFormat="1" applyFont="1" applyFill="1" applyBorder="1" applyAlignment="1" applyProtection="1">
      <alignment horizontal="center" vertical="center" wrapText="1"/>
    </xf>
    <xf numFmtId="164" fontId="2" fillId="2" borderId="3" xfId="1" applyNumberFormat="1" applyFont="1" applyFill="1" applyBorder="1" applyAlignment="1" applyProtection="1">
      <alignment horizontal="center" vertical="center" wrapText="1"/>
    </xf>
    <xf numFmtId="4" fontId="3" fillId="3" borderId="4" xfId="1" applyNumberFormat="1" applyFont="1" applyFill="1" applyBorder="1" applyAlignment="1" applyProtection="1">
      <alignment horizontal="center" vertical="center" wrapText="1"/>
    </xf>
    <xf numFmtId="0" fontId="3" fillId="3" borderId="4" xfId="1" applyFont="1" applyFill="1" applyBorder="1" applyAlignment="1" applyProtection="1">
      <alignment horizontal="center" vertical="center" wrapText="1"/>
    </xf>
    <xf numFmtId="4" fontId="0" fillId="2" borderId="4" xfId="1" applyNumberFormat="1" applyFont="1" applyFill="1" applyBorder="1" applyAlignment="1" applyProtection="1">
      <alignment horizontal="center" vertical="center" wrapText="1"/>
    </xf>
    <xf numFmtId="4" fontId="4" fillId="2" borderId="4" xfId="1" applyNumberFormat="1" applyFont="1" applyFill="1" applyBorder="1" applyAlignment="1" applyProtection="1">
      <alignment horizontal="right" vertical="center" wrapText="1"/>
      <protection locked="0"/>
    </xf>
    <xf numFmtId="4" fontId="4" fillId="4" borderId="4" xfId="1" applyNumberFormat="1" applyFont="1" applyFill="1" applyBorder="1" applyAlignment="1" applyProtection="1">
      <alignment horizontal="right" vertical="center" wrapText="1"/>
      <protection locked="0"/>
    </xf>
    <xf numFmtId="4" fontId="4" fillId="5" borderId="4" xfId="1" applyNumberFormat="1" applyFont="1" applyFill="1" applyBorder="1" applyAlignment="1" applyProtection="1">
      <alignment horizontal="right" vertical="center" wrapText="1"/>
      <protection locked="0"/>
    </xf>
    <xf numFmtId="4" fontId="4" fillId="6" borderId="4" xfId="1" applyNumberFormat="1" applyFont="1" applyFill="1" applyBorder="1" applyAlignment="1" applyProtection="1">
      <alignment horizontal="right" vertical="center" wrapText="1"/>
      <protection locked="0"/>
    </xf>
    <xf numFmtId="4" fontId="4" fillId="0" borderId="4" xfId="1" applyNumberFormat="1" applyFont="1" applyFill="1" applyBorder="1" applyAlignment="1" applyProtection="1">
      <alignment horizontal="right" vertical="center" wrapText="1"/>
      <protection locked="0"/>
    </xf>
    <xf numFmtId="4" fontId="0" fillId="2" borderId="0" xfId="1" applyNumberFormat="1" applyFont="1" applyFill="1" applyAlignment="1" applyProtection="1">
      <alignment horizontal="center" vertical="center" wrapText="1"/>
    </xf>
    <xf numFmtId="4" fontId="4" fillId="2" borderId="0" xfId="1" applyNumberFormat="1" applyFont="1" applyFill="1" applyAlignment="1" applyProtection="1">
      <alignment horizontal="center" vertical="center" wrapText="1"/>
    </xf>
    <xf numFmtId="164" fontId="2" fillId="2" borderId="0" xfId="1" applyNumberFormat="1" applyFont="1" applyFill="1" applyBorder="1" applyAlignment="1" applyProtection="1">
      <alignment horizontal="center" vertical="center" wrapText="1"/>
    </xf>
    <xf numFmtId="4" fontId="4" fillId="2" borderId="4" xfId="1" applyNumberFormat="1" applyFont="1" applyFill="1" applyBorder="1" applyAlignment="1" applyProtection="1">
      <alignment horizontal="right" vertical="center" wrapText="1"/>
    </xf>
    <xf numFmtId="4" fontId="4" fillId="4" borderId="4" xfId="1" applyNumberFormat="1" applyFont="1" applyFill="1" applyBorder="1" applyAlignment="1" applyProtection="1">
      <alignment horizontal="right" vertical="center" wrapText="1"/>
    </xf>
    <xf numFmtId="4" fontId="4" fillId="5" borderId="4" xfId="1" applyNumberFormat="1" applyFont="1" applyFill="1" applyBorder="1" applyAlignment="1" applyProtection="1">
      <alignment horizontal="right" vertical="center" wrapText="1"/>
    </xf>
    <xf numFmtId="4" fontId="0" fillId="7" borderId="4" xfId="1" applyNumberFormat="1" applyFont="1" applyFill="1" applyBorder="1" applyAlignment="1" applyProtection="1">
      <alignment horizontal="center" vertical="center" wrapText="1"/>
    </xf>
    <xf numFmtId="4" fontId="4" fillId="6" borderId="4" xfId="1" applyNumberFormat="1" applyFont="1" applyFill="1" applyBorder="1" applyAlignment="1" applyProtection="1">
      <alignment horizontal="right" vertical="center" wrapText="1"/>
    </xf>
    <xf numFmtId="4" fontId="4" fillId="8" borderId="4" xfId="1" applyNumberFormat="1" applyFont="1" applyFill="1" applyBorder="1" applyAlignment="1" applyProtection="1">
      <alignment horizontal="right" vertical="center" wrapText="1"/>
    </xf>
    <xf numFmtId="4" fontId="0" fillId="5" borderId="4" xfId="1" applyNumberFormat="1" applyFont="1" applyFill="1" applyBorder="1" applyAlignment="1" applyProtection="1">
      <alignment horizontal="center" vertical="center" wrapText="1"/>
    </xf>
    <xf numFmtId="4" fontId="4" fillId="9" borderId="4" xfId="1" applyNumberFormat="1" applyFont="1" applyFill="1" applyBorder="1" applyAlignment="1" applyProtection="1">
      <alignment horizontal="right" vertical="center" wrapText="1"/>
    </xf>
    <xf numFmtId="4" fontId="0" fillId="2" borderId="0" xfId="1" applyNumberFormat="1" applyFont="1" applyFill="1" applyAlignment="1" applyProtection="1">
      <alignment horizontal="center" vertical="center" wrapText="1"/>
    </xf>
    <xf numFmtId="0" fontId="0" fillId="2" borderId="0" xfId="1" applyFont="1" applyFill="1" applyAlignment="1" applyProtection="1">
      <alignment horizontal="center" vertical="center" wrapText="1"/>
    </xf>
  </cellXfs>
  <cellStyles count="2">
    <cellStyle name="Excel Built-in Normal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chavarria/Desktop/ERSIST%20SITES/B&#243;veda/Libro%20Mayor%20B&#243;veda%2012-01-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BRO"/>
      <sheetName val="Saldos"/>
      <sheetName val="Entregas"/>
      <sheetName val="Pedidos"/>
      <sheetName val="ARQUEO COLONES"/>
      <sheetName val="ARQUEO DOLARES"/>
      <sheetName val="ARQUEO EUROS"/>
    </sheetNames>
    <sheetDataSet>
      <sheetData sheetId="0"/>
      <sheetData sheetId="1"/>
      <sheetData sheetId="2">
        <row r="23"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71">
          <cell r="F71">
            <v>0</v>
          </cell>
          <cell r="G71">
            <v>0</v>
          </cell>
          <cell r="H71">
            <v>0</v>
          </cell>
        </row>
      </sheetData>
      <sheetData sheetId="3">
        <row r="23"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69">
          <cell r="F69">
            <v>0</v>
          </cell>
          <cell r="G69">
            <v>0</v>
          </cell>
          <cell r="H69">
            <v>0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56"/>
  <sheetViews>
    <sheetView tabSelected="1" workbookViewId="0">
      <selection activeCell="B2" sqref="B2:F2"/>
    </sheetView>
  </sheetViews>
  <sheetFormatPr baseColWidth="10" defaultColWidth="11.42578125" defaultRowHeight="15"/>
  <cols>
    <col min="1" max="1" width="7" style="2" customWidth="1"/>
    <col min="2" max="2" width="17.7109375" style="14" customWidth="1"/>
    <col min="3" max="3" width="18" style="2" customWidth="1"/>
    <col min="4" max="4" width="17.28515625" style="2" customWidth="1"/>
    <col min="5" max="6" width="17.7109375" style="2" customWidth="1"/>
    <col min="7" max="16384" width="11.42578125" style="2"/>
  </cols>
  <sheetData>
    <row r="1" spans="2:6" ht="15.75" thickBot="1">
      <c r="B1" s="1" t="s">
        <v>0</v>
      </c>
      <c r="C1" s="1"/>
      <c r="D1" s="1"/>
      <c r="E1" s="1"/>
      <c r="F1" s="1"/>
    </row>
    <row r="2" spans="2:6" ht="15.75" thickBot="1">
      <c r="B2" s="3">
        <v>42015</v>
      </c>
      <c r="C2" s="4"/>
      <c r="D2" s="4"/>
      <c r="E2" s="4"/>
      <c r="F2" s="5"/>
    </row>
    <row r="4" spans="2:6" ht="25.5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</row>
    <row r="6" spans="2:6">
      <c r="B6" s="8">
        <v>50000</v>
      </c>
      <c r="C6" s="9"/>
      <c r="D6" s="10"/>
      <c r="E6" s="10"/>
      <c r="F6" s="11"/>
    </row>
    <row r="7" spans="2:6">
      <c r="B7" s="8">
        <v>20000</v>
      </c>
      <c r="C7" s="9"/>
      <c r="D7" s="10"/>
      <c r="E7" s="10"/>
      <c r="F7" s="11"/>
    </row>
    <row r="8" spans="2:6">
      <c r="B8" s="8">
        <v>10000</v>
      </c>
      <c r="C8" s="9"/>
      <c r="D8" s="10"/>
      <c r="E8" s="10"/>
      <c r="F8" s="11"/>
    </row>
    <row r="9" spans="2:6">
      <c r="B9" s="8">
        <v>5000</v>
      </c>
      <c r="C9" s="9"/>
      <c r="D9" s="10"/>
      <c r="E9" s="10"/>
      <c r="F9" s="11"/>
    </row>
    <row r="10" spans="2:6">
      <c r="B10" s="8">
        <v>2000</v>
      </c>
      <c r="C10" s="9"/>
      <c r="D10" s="10"/>
      <c r="E10" s="10"/>
      <c r="F10" s="11"/>
    </row>
    <row r="11" spans="2:6">
      <c r="B11" s="8">
        <v>1000</v>
      </c>
      <c r="C11" s="9"/>
      <c r="D11" s="10"/>
      <c r="E11" s="10"/>
      <c r="F11" s="11"/>
    </row>
    <row r="12" spans="2:6">
      <c r="B12" s="8">
        <v>500</v>
      </c>
      <c r="C12" s="10"/>
      <c r="D12" s="10"/>
      <c r="E12" s="11"/>
      <c r="F12" s="10"/>
    </row>
    <row r="13" spans="2:6">
      <c r="B13" s="8">
        <v>200</v>
      </c>
      <c r="C13" s="10"/>
      <c r="D13" s="10"/>
      <c r="E13" s="11"/>
      <c r="F13" s="10"/>
    </row>
    <row r="14" spans="2:6">
      <c r="B14" s="8">
        <v>100</v>
      </c>
      <c r="C14" s="10"/>
      <c r="D14" s="12"/>
      <c r="E14" s="11"/>
      <c r="F14" s="10"/>
    </row>
    <row r="15" spans="2:6">
      <c r="B15" s="8">
        <v>50</v>
      </c>
      <c r="C15" s="10"/>
      <c r="D15" s="12"/>
      <c r="E15" s="11"/>
      <c r="F15" s="10"/>
    </row>
    <row r="16" spans="2:6">
      <c r="B16" s="8">
        <v>25</v>
      </c>
      <c r="C16" s="10"/>
      <c r="D16" s="10"/>
      <c r="E16" s="10"/>
      <c r="F16" s="10"/>
    </row>
    <row r="17" spans="2:6" ht="13.35" customHeight="1">
      <c r="B17" s="8">
        <v>20</v>
      </c>
      <c r="C17" s="10"/>
      <c r="D17" s="12"/>
      <c r="E17" s="12"/>
      <c r="F17" s="10"/>
    </row>
    <row r="18" spans="2:6">
      <c r="B18" s="8">
        <v>10</v>
      </c>
      <c r="C18" s="10"/>
      <c r="D18" s="12"/>
      <c r="E18" s="11"/>
      <c r="F18" s="10"/>
    </row>
    <row r="19" spans="2:6">
      <c r="B19" s="8">
        <v>5</v>
      </c>
      <c r="C19" s="10"/>
      <c r="D19" s="12"/>
      <c r="E19" s="11"/>
      <c r="F19" s="10"/>
    </row>
    <row r="20" spans="2:6">
      <c r="B20" s="8">
        <v>1</v>
      </c>
      <c r="C20" s="10"/>
      <c r="D20" s="12"/>
      <c r="E20" s="10"/>
      <c r="F20" s="10"/>
    </row>
    <row r="21" spans="2:6">
      <c r="B21" s="8" t="s">
        <v>6</v>
      </c>
      <c r="C21" s="13"/>
      <c r="D21" s="12"/>
      <c r="E21" s="11"/>
      <c r="F21" s="10"/>
    </row>
    <row r="22" spans="2:6">
      <c r="B22" s="8" t="s">
        <v>7</v>
      </c>
      <c r="C22" s="9"/>
      <c r="D22" s="11"/>
      <c r="E22" s="11"/>
      <c r="F22" s="10"/>
    </row>
    <row r="23" spans="2:6">
      <c r="C23" s="15" t="s">
        <v>8</v>
      </c>
      <c r="D23" s="15"/>
      <c r="E23" s="15"/>
      <c r="F23" s="15"/>
    </row>
    <row r="24" spans="2:6" ht="16.5" customHeight="1">
      <c r="B24" s="6" t="s">
        <v>9</v>
      </c>
      <c r="C24" s="6">
        <f t="shared" ref="C24:F24" si="0">SUM(C6:C23)</f>
        <v>0</v>
      </c>
      <c r="D24" s="6">
        <f t="shared" si="0"/>
        <v>0</v>
      </c>
      <c r="E24" s="6">
        <f t="shared" si="0"/>
        <v>0</v>
      </c>
      <c r="F24" s="6">
        <f t="shared" si="0"/>
        <v>0</v>
      </c>
    </row>
    <row r="28" spans="2:6" ht="12.75" customHeight="1">
      <c r="B28" s="1" t="s">
        <v>10</v>
      </c>
      <c r="C28" s="1"/>
      <c r="D28" s="1"/>
      <c r="E28" s="1"/>
      <c r="F28" s="1"/>
    </row>
    <row r="29" spans="2:6" ht="15" customHeight="1">
      <c r="B29" s="16">
        <f>+B2+1</f>
        <v>42016</v>
      </c>
      <c r="C29" s="16"/>
      <c r="D29" s="16"/>
      <c r="E29" s="16"/>
      <c r="F29" s="16"/>
    </row>
    <row r="31" spans="2:6" ht="38.25" customHeight="1">
      <c r="B31" s="6" t="s">
        <v>1</v>
      </c>
      <c r="C31" s="7" t="s">
        <v>2</v>
      </c>
      <c r="D31" s="7" t="s">
        <v>3</v>
      </c>
      <c r="E31" s="7" t="s">
        <v>4</v>
      </c>
      <c r="F31" s="7" t="s">
        <v>5</v>
      </c>
    </row>
    <row r="33" spans="2:6">
      <c r="B33" s="8">
        <v>50000</v>
      </c>
      <c r="C33" s="17"/>
      <c r="D33" s="18">
        <f>+D6-[1]LIBRO!C9+[1]LIBRO!C30</f>
        <v>0</v>
      </c>
      <c r="E33" s="18">
        <f>+E6-[1]LIBRO!D9+[1]LIBRO!D30</f>
        <v>0</v>
      </c>
      <c r="F33" s="19"/>
    </row>
    <row r="34" spans="2:6">
      <c r="B34" s="8">
        <v>20000</v>
      </c>
      <c r="C34" s="17"/>
      <c r="D34" s="18">
        <f>+D7-[1]LIBRO!C10+[1]LIBRO!C31</f>
        <v>0</v>
      </c>
      <c r="E34" s="18">
        <f>+E7-[1]LIBRO!D10+[1]LIBRO!D31</f>
        <v>0</v>
      </c>
      <c r="F34" s="19"/>
    </row>
    <row r="35" spans="2:6">
      <c r="B35" s="8">
        <v>10000</v>
      </c>
      <c r="C35" s="17"/>
      <c r="D35" s="18">
        <v>0</v>
      </c>
      <c r="E35" s="18">
        <f>+E8-[1]LIBRO!D11+[1]LIBRO!D32</f>
        <v>0</v>
      </c>
      <c r="F35" s="19"/>
    </row>
    <row r="36" spans="2:6">
      <c r="B36" s="8">
        <v>5000</v>
      </c>
      <c r="C36" s="17"/>
      <c r="D36" s="18">
        <v>0</v>
      </c>
      <c r="E36" s="18">
        <f>+E9-[1]LIBRO!D12+[1]LIBRO!D33</f>
        <v>0</v>
      </c>
      <c r="F36" s="19"/>
    </row>
    <row r="37" spans="2:6">
      <c r="B37" s="8">
        <v>2000</v>
      </c>
      <c r="C37" s="17"/>
      <c r="D37" s="18">
        <v>0</v>
      </c>
      <c r="E37" s="18">
        <f>+E10-[1]LIBRO!D13+[1]LIBRO!D34</f>
        <v>0</v>
      </c>
      <c r="F37" s="19"/>
    </row>
    <row r="38" spans="2:6">
      <c r="B38" s="8">
        <v>1000</v>
      </c>
      <c r="C38" s="17"/>
      <c r="D38" s="18">
        <v>0</v>
      </c>
      <c r="E38" s="18">
        <f>+E11-[1]LIBRO!D14+[1]LIBRO!D35</f>
        <v>0</v>
      </c>
      <c r="F38" s="19"/>
    </row>
    <row r="39" spans="2:6">
      <c r="B39" s="8">
        <v>500</v>
      </c>
      <c r="C39" s="18">
        <f>C12+[1]Entregas!H23-[1]Pedidos!H23</f>
        <v>0</v>
      </c>
      <c r="D39" s="18">
        <v>0</v>
      </c>
      <c r="E39" s="19"/>
      <c r="F39" s="18">
        <f>F12+[1]Pedidos!H22-[1]Entregas!H22</f>
        <v>0</v>
      </c>
    </row>
    <row r="40" spans="2:6">
      <c r="B40" s="20">
        <v>200</v>
      </c>
      <c r="C40" s="18">
        <v>0</v>
      </c>
      <c r="D40" s="18">
        <f>+D13-[1]LIBRO!C16+[1]LIBRO!C37</f>
        <v>0</v>
      </c>
      <c r="E40" s="19"/>
      <c r="F40" s="18">
        <v>0</v>
      </c>
    </row>
    <row r="41" spans="2:6">
      <c r="B41" s="8">
        <v>100</v>
      </c>
      <c r="C41" s="18">
        <f>+C14+[1]Entregas!I23-[1]Pedidos!I23</f>
        <v>0</v>
      </c>
      <c r="D41" s="21"/>
      <c r="E41" s="19"/>
      <c r="F41" s="18">
        <f>F14+[1]Pedidos!I22-[1]Entregas!I22</f>
        <v>0</v>
      </c>
    </row>
    <row r="42" spans="2:6">
      <c r="B42" s="8">
        <v>50</v>
      </c>
      <c r="C42" s="18">
        <f>C15+[1]Entregas!J23-[1]Pedidos!J23</f>
        <v>0</v>
      </c>
      <c r="D42" s="21"/>
      <c r="E42" s="19"/>
      <c r="F42" s="18">
        <f>F15+[1]Pedidos!J22-[1]Entregas!J22</f>
        <v>0</v>
      </c>
    </row>
    <row r="43" spans="2:6">
      <c r="B43" s="8">
        <v>25</v>
      </c>
      <c r="C43" s="18">
        <f>C16+[1]Entregas!K23-[1]Pedidos!K23</f>
        <v>0</v>
      </c>
      <c r="D43" s="18">
        <f>+D16-[1]LIBRO!C19+[1]LIBRO!C40</f>
        <v>0</v>
      </c>
      <c r="E43" s="18">
        <v>0</v>
      </c>
      <c r="F43" s="18">
        <f>F16+[1]Pedidos!K22-[1]Entregas!K22</f>
        <v>0</v>
      </c>
    </row>
    <row r="44" spans="2:6">
      <c r="B44" s="20">
        <v>20</v>
      </c>
      <c r="C44" s="18">
        <v>0</v>
      </c>
      <c r="D44" s="21"/>
      <c r="E44" s="21">
        <f>E17+[1]Entregas!F71-[1]Pedidos!F69</f>
        <v>0</v>
      </c>
      <c r="F44" s="22">
        <v>0</v>
      </c>
    </row>
    <row r="45" spans="2:6">
      <c r="B45" s="23">
        <v>10</v>
      </c>
      <c r="C45" s="18">
        <f>C18+[1]Entregas!L23-[1]Pedidos!L23</f>
        <v>0</v>
      </c>
      <c r="D45" s="21"/>
      <c r="E45" s="21">
        <f>E18+[1]Entregas!G71-[1]Pedidos!G69</f>
        <v>0</v>
      </c>
      <c r="F45" s="22">
        <v>0</v>
      </c>
    </row>
    <row r="46" spans="2:6">
      <c r="B46" s="23">
        <v>5</v>
      </c>
      <c r="C46" s="18">
        <f>C19+[1]Entregas!M23-[1]Pedidos!M23</f>
        <v>0</v>
      </c>
      <c r="D46" s="21"/>
      <c r="E46" s="19">
        <f>E19+[1]Entregas!H71-[1]Pedidos!H69</f>
        <v>0</v>
      </c>
      <c r="F46" s="22">
        <v>0</v>
      </c>
    </row>
    <row r="47" spans="2:6">
      <c r="B47" s="23">
        <v>1</v>
      </c>
      <c r="C47" s="24">
        <v>0</v>
      </c>
      <c r="D47" s="21"/>
      <c r="E47" s="18">
        <f>+E20-[1]LIBRO!D23+[1]LIBRO!D44</f>
        <v>0</v>
      </c>
      <c r="F47" s="22">
        <v>0</v>
      </c>
    </row>
    <row r="48" spans="2:6">
      <c r="B48" s="8" t="s">
        <v>6</v>
      </c>
      <c r="C48" s="17"/>
      <c r="D48" s="21"/>
      <c r="E48" s="19"/>
      <c r="F48" s="22">
        <v>0</v>
      </c>
    </row>
    <row r="49" spans="2:7">
      <c r="B49" s="8" t="s">
        <v>7</v>
      </c>
      <c r="C49" s="17"/>
      <c r="D49" s="19"/>
      <c r="E49" s="19"/>
      <c r="F49" s="22">
        <v>0</v>
      </c>
    </row>
    <row r="50" spans="2:7">
      <c r="C50" s="15"/>
      <c r="D50" s="15"/>
      <c r="E50" s="15"/>
      <c r="F50" s="15"/>
    </row>
    <row r="51" spans="2:7" ht="16.5" customHeight="1">
      <c r="B51" s="6" t="s">
        <v>9</v>
      </c>
      <c r="C51" s="6">
        <f t="shared" ref="C51:F51" si="1">SUM(C33:C49)</f>
        <v>0</v>
      </c>
      <c r="D51" s="6">
        <f t="shared" si="1"/>
        <v>0</v>
      </c>
      <c r="E51" s="6">
        <f t="shared" si="1"/>
        <v>0</v>
      </c>
      <c r="F51" s="6">
        <f t="shared" si="1"/>
        <v>0</v>
      </c>
    </row>
    <row r="54" spans="2:7" ht="13.15" customHeight="1">
      <c r="B54" s="25"/>
      <c r="C54" s="25"/>
      <c r="D54" s="25"/>
    </row>
    <row r="55" spans="2:7">
      <c r="F55" s="26"/>
      <c r="G55" s="26"/>
    </row>
    <row r="56" spans="2:7">
      <c r="C56" s="2" t="s">
        <v>11</v>
      </c>
    </row>
  </sheetData>
  <mergeCells count="6">
    <mergeCell ref="B1:F1"/>
    <mergeCell ref="B2:F2"/>
    <mergeCell ref="B28:F28"/>
    <mergeCell ref="B29:F29"/>
    <mergeCell ref="B54:D54"/>
    <mergeCell ref="F55:G5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Chavarria Ramirez</dc:creator>
  <cp:lastModifiedBy>Erick Chavarria Ramirez</cp:lastModifiedBy>
  <dcterms:created xsi:type="dcterms:W3CDTF">2016-06-02T16:34:12Z</dcterms:created>
  <dcterms:modified xsi:type="dcterms:W3CDTF">2016-06-02T16:45:53Z</dcterms:modified>
</cp:coreProperties>
</file>