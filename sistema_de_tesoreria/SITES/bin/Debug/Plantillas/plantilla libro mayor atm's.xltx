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updateLinks="never" codeName="ThisWorkbook"/>
  <bookViews>
    <workbookView xWindow="210" yWindow="135" windowWidth="9180" windowHeight="4500" tabRatio="829"/>
  </bookViews>
  <sheets>
    <sheet name="MAYOR COLONES" sheetId="92" r:id="rId1"/>
    <sheet name="MAYOR DOLARES" sheetId="300" r:id="rId2"/>
    <sheet name="Descargas" sheetId="301" r:id="rId3"/>
    <sheet name="Cargas" sheetId="302" r:id="rId4"/>
  </sheets>
  <definedNames>
    <definedName name="_xlnm._FilterDatabase" localSheetId="3" hidden="1">Cargas!$B$2:$K$93</definedName>
    <definedName name="_xlnm._FilterDatabase" localSheetId="2" hidden="1">Descargas!$B$2:$I$106</definedName>
    <definedName name="_xlnm._FilterDatabase" localSheetId="0" hidden="1">'MAYOR COLONES'!$A$15:$L$546</definedName>
    <definedName name="_xlnm._FilterDatabase" localSheetId="1" hidden="1">'MAYOR DOLARES'!$C$14:$H$545</definedName>
    <definedName name="_xlnm.Extract" localSheetId="0">'MAYOR COLONES'!$E$280:$E$544</definedName>
    <definedName name="_xlnm.Extract" localSheetId="1">'MAYOR DOLARES'!$F$279:$F$542</definedName>
    <definedName name="_xlnm.Print_Area" localSheetId="0">'MAYOR COLONES'!$B$2:$L$573</definedName>
    <definedName name="_xlnm.Print_Area" localSheetId="1">'MAYOR DOLARES'!$A$2:$I$571</definedName>
    <definedName name="solver_cvg" localSheetId="0" hidden="1">0.001</definedName>
    <definedName name="solver_cvg" localSheetId="1" hidden="1">0.001</definedName>
    <definedName name="solver_drv" localSheetId="0" hidden="1">1</definedName>
    <definedName name="solver_drv" localSheetId="1" hidden="1">1</definedName>
    <definedName name="solver_est" localSheetId="0" hidden="1">1</definedName>
    <definedName name="solver_est" localSheetId="1" hidden="1">1</definedName>
    <definedName name="solver_itr" localSheetId="0" hidden="1">100</definedName>
    <definedName name="solver_itr" localSheetId="1" hidden="1">100</definedName>
    <definedName name="solver_lin" localSheetId="0" hidden="1">2</definedName>
    <definedName name="solver_lin" localSheetId="1" hidden="1">2</definedName>
    <definedName name="solver_neg" localSheetId="0" hidden="1">2</definedName>
    <definedName name="solver_neg" localSheetId="1" hidden="1">2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'MAYOR COLONES'!#REF!</definedName>
    <definedName name="solver_opt" localSheetId="1" hidden="1">'MAYOR DOLARES'!$L$5</definedName>
    <definedName name="solver_pre" localSheetId="0" hidden="1">0.000001</definedName>
    <definedName name="solver_pre" localSheetId="1" hidden="1">0.000001</definedName>
    <definedName name="solver_scl" localSheetId="0" hidden="1">2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tim" localSheetId="0" hidden="1">100</definedName>
    <definedName name="solver_tim" localSheetId="1" hidden="1">100</definedName>
    <definedName name="solver_tol" localSheetId="0" hidden="1">0.05</definedName>
    <definedName name="solver_tol" localSheetId="1" hidden="1">0.05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</definedNames>
  <calcPr calcId="125725"/>
</workbook>
</file>

<file path=xl/calcChain.xml><?xml version="1.0" encoding="utf-8"?>
<calcChain xmlns="http://schemas.openxmlformats.org/spreadsheetml/2006/main">
  <c r="H537" i="300"/>
  <c r="E537" s="1"/>
  <c r="H272"/>
  <c r="F272"/>
  <c r="K272" s="1"/>
  <c r="AB539" i="92"/>
  <c r="L539"/>
  <c r="AG539" s="1"/>
  <c r="K539"/>
  <c r="AF539" s="1"/>
  <c r="J539"/>
  <c r="AE539" s="1"/>
  <c r="I539"/>
  <c r="H539"/>
  <c r="AC539" s="1"/>
  <c r="B539"/>
  <c r="AB273"/>
  <c r="L273"/>
  <c r="AG273" s="1"/>
  <c r="K273"/>
  <c r="AF273" s="1"/>
  <c r="J273"/>
  <c r="AE273" s="1"/>
  <c r="I273"/>
  <c r="AD273" s="1"/>
  <c r="H273"/>
  <c r="AC273" s="1"/>
  <c r="L17"/>
  <c r="B544"/>
  <c r="B543"/>
  <c r="B542"/>
  <c r="B541"/>
  <c r="B540"/>
  <c r="B538"/>
  <c r="B537"/>
  <c r="B536"/>
  <c r="B535"/>
  <c r="B534"/>
  <c r="B533"/>
  <c r="B532"/>
  <c r="B531"/>
  <c r="B530"/>
  <c r="B529"/>
  <c r="B528"/>
  <c r="B527"/>
  <c r="B526"/>
  <c r="B525"/>
  <c r="B524"/>
  <c r="B523"/>
  <c r="B522"/>
  <c r="B521"/>
  <c r="B520"/>
  <c r="B519"/>
  <c r="B518"/>
  <c r="B517"/>
  <c r="B516"/>
  <c r="B515"/>
  <c r="B514"/>
  <c r="B513"/>
  <c r="B512"/>
  <c r="B511"/>
  <c r="B510"/>
  <c r="B509"/>
  <c r="B508"/>
  <c r="B507"/>
  <c r="B506"/>
  <c r="B505"/>
  <c r="B504"/>
  <c r="B503"/>
  <c r="B502"/>
  <c r="B501"/>
  <c r="B500"/>
  <c r="B499"/>
  <c r="B498"/>
  <c r="B497"/>
  <c r="B496"/>
  <c r="B495"/>
  <c r="B494"/>
  <c r="B493"/>
  <c r="B492"/>
  <c r="B491"/>
  <c r="B490"/>
  <c r="B489"/>
  <c r="B488"/>
  <c r="B487"/>
  <c r="B486"/>
  <c r="B485"/>
  <c r="B484"/>
  <c r="B483"/>
  <c r="B482"/>
  <c r="B481"/>
  <c r="B480"/>
  <c r="B479"/>
  <c r="B478"/>
  <c r="B477"/>
  <c r="B476"/>
  <c r="B475"/>
  <c r="B474"/>
  <c r="B473"/>
  <c r="B472"/>
  <c r="B471"/>
  <c r="B470"/>
  <c r="B469"/>
  <c r="B468"/>
  <c r="B467"/>
  <c r="B466"/>
  <c r="B465"/>
  <c r="B464"/>
  <c r="B463"/>
  <c r="B462"/>
  <c r="B461"/>
  <c r="B460"/>
  <c r="B459"/>
  <c r="B458"/>
  <c r="B457"/>
  <c r="B456"/>
  <c r="B455"/>
  <c r="B454"/>
  <c r="B453"/>
  <c r="B452"/>
  <c r="B451"/>
  <c r="B450"/>
  <c r="B449"/>
  <c r="B448"/>
  <c r="B447"/>
  <c r="B446"/>
  <c r="B445"/>
  <c r="B444"/>
  <c r="B443"/>
  <c r="B442"/>
  <c r="B441"/>
  <c r="B440"/>
  <c r="B439"/>
  <c r="B438"/>
  <c r="B437"/>
  <c r="B436"/>
  <c r="B435"/>
  <c r="B434"/>
  <c r="B433"/>
  <c r="B432"/>
  <c r="B431"/>
  <c r="B430"/>
  <c r="B429"/>
  <c r="B428"/>
  <c r="B427"/>
  <c r="B426"/>
  <c r="B425"/>
  <c r="B424"/>
  <c r="B423"/>
  <c r="B422"/>
  <c r="B421"/>
  <c r="B420"/>
  <c r="B419"/>
  <c r="B418"/>
  <c r="B417"/>
  <c r="B416"/>
  <c r="B415"/>
  <c r="B414"/>
  <c r="B413"/>
  <c r="B412"/>
  <c r="B411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6"/>
  <c r="B385"/>
  <c r="B384"/>
  <c r="B383"/>
  <c r="B382"/>
  <c r="B381"/>
  <c r="B380"/>
  <c r="B379"/>
  <c r="B378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H270"/>
  <c r="H279" i="300"/>
  <c r="H542"/>
  <c r="H541"/>
  <c r="H540"/>
  <c r="H539"/>
  <c r="H538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E497" s="1"/>
  <c r="H496"/>
  <c r="E496" s="1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L332" i="92"/>
  <c r="L333"/>
  <c r="L544"/>
  <c r="K544"/>
  <c r="J544"/>
  <c r="I544"/>
  <c r="L543"/>
  <c r="K543"/>
  <c r="J543"/>
  <c r="I543"/>
  <c r="L542"/>
  <c r="K542"/>
  <c r="J542"/>
  <c r="I542"/>
  <c r="L541"/>
  <c r="K541"/>
  <c r="J541"/>
  <c r="I541"/>
  <c r="L540"/>
  <c r="K540"/>
  <c r="J540"/>
  <c r="I540"/>
  <c r="L538"/>
  <c r="K538"/>
  <c r="J538"/>
  <c r="I538"/>
  <c r="L537"/>
  <c r="K537"/>
  <c r="J537"/>
  <c r="I537"/>
  <c r="L536"/>
  <c r="K536"/>
  <c r="J536"/>
  <c r="I536"/>
  <c r="L535"/>
  <c r="K535"/>
  <c r="J535"/>
  <c r="I535"/>
  <c r="L534"/>
  <c r="K534"/>
  <c r="J534"/>
  <c r="I534"/>
  <c r="L533"/>
  <c r="K533"/>
  <c r="J533"/>
  <c r="I533"/>
  <c r="L532"/>
  <c r="K532"/>
  <c r="J532"/>
  <c r="I532"/>
  <c r="L531"/>
  <c r="K531"/>
  <c r="J531"/>
  <c r="I531"/>
  <c r="L530"/>
  <c r="K530"/>
  <c r="J530"/>
  <c r="I530"/>
  <c r="L529"/>
  <c r="K529"/>
  <c r="J529"/>
  <c r="I529"/>
  <c r="L528"/>
  <c r="K528"/>
  <c r="J528"/>
  <c r="I528"/>
  <c r="L527"/>
  <c r="K527"/>
  <c r="J527"/>
  <c r="I527"/>
  <c r="L526"/>
  <c r="K526"/>
  <c r="J526"/>
  <c r="I526"/>
  <c r="L525"/>
  <c r="K525"/>
  <c r="J525"/>
  <c r="I525"/>
  <c r="L524"/>
  <c r="K524"/>
  <c r="J524"/>
  <c r="I524"/>
  <c r="L523"/>
  <c r="K523"/>
  <c r="J523"/>
  <c r="I523"/>
  <c r="L522"/>
  <c r="K522"/>
  <c r="J522"/>
  <c r="I522"/>
  <c r="L521"/>
  <c r="K521"/>
  <c r="J521"/>
  <c r="I521"/>
  <c r="L520"/>
  <c r="K520"/>
  <c r="J520"/>
  <c r="I520"/>
  <c r="L519"/>
  <c r="K519"/>
  <c r="J519"/>
  <c r="I519"/>
  <c r="L518"/>
  <c r="K518"/>
  <c r="J518"/>
  <c r="I518"/>
  <c r="L517"/>
  <c r="K517"/>
  <c r="J517"/>
  <c r="I517"/>
  <c r="L516"/>
  <c r="K516"/>
  <c r="J516"/>
  <c r="I516"/>
  <c r="L515"/>
  <c r="K515"/>
  <c r="J515"/>
  <c r="I515"/>
  <c r="L514"/>
  <c r="K514"/>
  <c r="J514"/>
  <c r="I514"/>
  <c r="L513"/>
  <c r="K513"/>
  <c r="J513"/>
  <c r="I513"/>
  <c r="L512"/>
  <c r="K512"/>
  <c r="J512"/>
  <c r="I512"/>
  <c r="L511"/>
  <c r="K511"/>
  <c r="J511"/>
  <c r="I511"/>
  <c r="L510"/>
  <c r="K510"/>
  <c r="J510"/>
  <c r="I510"/>
  <c r="L509"/>
  <c r="K509"/>
  <c r="J509"/>
  <c r="I509"/>
  <c r="L508"/>
  <c r="K508"/>
  <c r="J508"/>
  <c r="I508"/>
  <c r="L507"/>
  <c r="K507"/>
  <c r="J507"/>
  <c r="I507"/>
  <c r="L506"/>
  <c r="K506"/>
  <c r="J506"/>
  <c r="I506"/>
  <c r="L505"/>
  <c r="K505"/>
  <c r="J505"/>
  <c r="I505"/>
  <c r="L504"/>
  <c r="K504"/>
  <c r="J504"/>
  <c r="I504"/>
  <c r="L503"/>
  <c r="K503"/>
  <c r="J503"/>
  <c r="I503"/>
  <c r="L502"/>
  <c r="K502"/>
  <c r="J502"/>
  <c r="I502"/>
  <c r="L501"/>
  <c r="K501"/>
  <c r="J501"/>
  <c r="I501"/>
  <c r="L500"/>
  <c r="K500"/>
  <c r="J500"/>
  <c r="I500"/>
  <c r="L499"/>
  <c r="K499"/>
  <c r="J499"/>
  <c r="I499"/>
  <c r="L498"/>
  <c r="K498"/>
  <c r="J498"/>
  <c r="I498"/>
  <c r="L497"/>
  <c r="K497"/>
  <c r="J497"/>
  <c r="I497"/>
  <c r="L496"/>
  <c r="K496"/>
  <c r="J496"/>
  <c r="I496"/>
  <c r="L495"/>
  <c r="K495"/>
  <c r="J495"/>
  <c r="I495"/>
  <c r="L494"/>
  <c r="K494"/>
  <c r="J494"/>
  <c r="I494"/>
  <c r="L493"/>
  <c r="K493"/>
  <c r="J493"/>
  <c r="I493"/>
  <c r="L492"/>
  <c r="K492"/>
  <c r="J492"/>
  <c r="I492"/>
  <c r="L491"/>
  <c r="K491"/>
  <c r="J491"/>
  <c r="I491"/>
  <c r="L490"/>
  <c r="K490"/>
  <c r="J490"/>
  <c r="I490"/>
  <c r="L489"/>
  <c r="K489"/>
  <c r="J489"/>
  <c r="I489"/>
  <c r="L488"/>
  <c r="K488"/>
  <c r="J488"/>
  <c r="I488"/>
  <c r="L487"/>
  <c r="K487"/>
  <c r="J487"/>
  <c r="I487"/>
  <c r="L486"/>
  <c r="K486"/>
  <c r="J486"/>
  <c r="I486"/>
  <c r="L485"/>
  <c r="K485"/>
  <c r="J485"/>
  <c r="I485"/>
  <c r="L484"/>
  <c r="K484"/>
  <c r="J484"/>
  <c r="I484"/>
  <c r="L483"/>
  <c r="K483"/>
  <c r="J483"/>
  <c r="I483"/>
  <c r="L482"/>
  <c r="K482"/>
  <c r="J482"/>
  <c r="I482"/>
  <c r="L481"/>
  <c r="K481"/>
  <c r="J481"/>
  <c r="I481"/>
  <c r="L480"/>
  <c r="K480"/>
  <c r="J480"/>
  <c r="I480"/>
  <c r="L479"/>
  <c r="K479"/>
  <c r="J479"/>
  <c r="I479"/>
  <c r="AD479" s="1"/>
  <c r="L478"/>
  <c r="K478"/>
  <c r="J478"/>
  <c r="I478"/>
  <c r="L477"/>
  <c r="K477"/>
  <c r="J477"/>
  <c r="I477"/>
  <c r="L476"/>
  <c r="K476"/>
  <c r="J476"/>
  <c r="I476"/>
  <c r="AD476" s="1"/>
  <c r="L475"/>
  <c r="K475"/>
  <c r="J475"/>
  <c r="I475"/>
  <c r="L474"/>
  <c r="K474"/>
  <c r="J474"/>
  <c r="I474"/>
  <c r="L473"/>
  <c r="K473"/>
  <c r="J473"/>
  <c r="I473"/>
  <c r="L472"/>
  <c r="K472"/>
  <c r="J472"/>
  <c r="I472"/>
  <c r="L471"/>
  <c r="K471"/>
  <c r="J471"/>
  <c r="I471"/>
  <c r="L470"/>
  <c r="K470"/>
  <c r="J470"/>
  <c r="I470"/>
  <c r="L469"/>
  <c r="K469"/>
  <c r="J469"/>
  <c r="I469"/>
  <c r="L468"/>
  <c r="K468"/>
  <c r="J468"/>
  <c r="I468"/>
  <c r="L467"/>
  <c r="K467"/>
  <c r="J467"/>
  <c r="I467"/>
  <c r="L466"/>
  <c r="K466"/>
  <c r="J466"/>
  <c r="I466"/>
  <c r="L465"/>
  <c r="K465"/>
  <c r="J465"/>
  <c r="I465"/>
  <c r="L464"/>
  <c r="K464"/>
  <c r="J464"/>
  <c r="I464"/>
  <c r="L463"/>
  <c r="K463"/>
  <c r="J463"/>
  <c r="I463"/>
  <c r="L462"/>
  <c r="K462"/>
  <c r="J462"/>
  <c r="I462"/>
  <c r="L461"/>
  <c r="K461"/>
  <c r="J461"/>
  <c r="I461"/>
  <c r="L460"/>
  <c r="K460"/>
  <c r="J460"/>
  <c r="I460"/>
  <c r="L459"/>
  <c r="K459"/>
  <c r="J459"/>
  <c r="I459"/>
  <c r="L458"/>
  <c r="K458"/>
  <c r="J458"/>
  <c r="I458"/>
  <c r="L457"/>
  <c r="K457"/>
  <c r="J457"/>
  <c r="I457"/>
  <c r="L456"/>
  <c r="K456"/>
  <c r="J456"/>
  <c r="I456"/>
  <c r="L455"/>
  <c r="K455"/>
  <c r="J455"/>
  <c r="I455"/>
  <c r="L454"/>
  <c r="K454"/>
  <c r="J454"/>
  <c r="I454"/>
  <c r="L453"/>
  <c r="K453"/>
  <c r="J453"/>
  <c r="I453"/>
  <c r="L452"/>
  <c r="K452"/>
  <c r="J452"/>
  <c r="I452"/>
  <c r="L451"/>
  <c r="K451"/>
  <c r="J451"/>
  <c r="I451"/>
  <c r="L450"/>
  <c r="K450"/>
  <c r="J450"/>
  <c r="I450"/>
  <c r="L449"/>
  <c r="K449"/>
  <c r="J449"/>
  <c r="I449"/>
  <c r="L448"/>
  <c r="K448"/>
  <c r="J448"/>
  <c r="I448"/>
  <c r="L447"/>
  <c r="K447"/>
  <c r="J447"/>
  <c r="I447"/>
  <c r="L446"/>
  <c r="K446"/>
  <c r="J446"/>
  <c r="I446"/>
  <c r="L445"/>
  <c r="K445"/>
  <c r="J445"/>
  <c r="I445"/>
  <c r="L444"/>
  <c r="K444"/>
  <c r="J444"/>
  <c r="I444"/>
  <c r="L443"/>
  <c r="K443"/>
  <c r="J443"/>
  <c r="I443"/>
  <c r="L442"/>
  <c r="K442"/>
  <c r="J442"/>
  <c r="I442"/>
  <c r="L441"/>
  <c r="K441"/>
  <c r="J441"/>
  <c r="I441"/>
  <c r="L440"/>
  <c r="K440"/>
  <c r="J440"/>
  <c r="I440"/>
  <c r="L439"/>
  <c r="K439"/>
  <c r="J439"/>
  <c r="I439"/>
  <c r="L438"/>
  <c r="K438"/>
  <c r="J438"/>
  <c r="I438"/>
  <c r="L437"/>
  <c r="K437"/>
  <c r="J437"/>
  <c r="I437"/>
  <c r="L436"/>
  <c r="K436"/>
  <c r="J436"/>
  <c r="I436"/>
  <c r="L435"/>
  <c r="K435"/>
  <c r="J435"/>
  <c r="I435"/>
  <c r="L434"/>
  <c r="K434"/>
  <c r="J434"/>
  <c r="I434"/>
  <c r="L433"/>
  <c r="K433"/>
  <c r="J433"/>
  <c r="I433"/>
  <c r="L432"/>
  <c r="K432"/>
  <c r="J432"/>
  <c r="I432"/>
  <c r="L431"/>
  <c r="K431"/>
  <c r="J431"/>
  <c r="I431"/>
  <c r="L430"/>
  <c r="K430"/>
  <c r="J430"/>
  <c r="I430"/>
  <c r="L429"/>
  <c r="K429"/>
  <c r="J429"/>
  <c r="I429"/>
  <c r="L428"/>
  <c r="K428"/>
  <c r="J428"/>
  <c r="I428"/>
  <c r="L427"/>
  <c r="K427"/>
  <c r="J427"/>
  <c r="I427"/>
  <c r="L426"/>
  <c r="K426"/>
  <c r="J426"/>
  <c r="I426"/>
  <c r="L425"/>
  <c r="K425"/>
  <c r="J425"/>
  <c r="I425"/>
  <c r="L424"/>
  <c r="K424"/>
  <c r="J424"/>
  <c r="I424"/>
  <c r="L423"/>
  <c r="K423"/>
  <c r="J423"/>
  <c r="I423"/>
  <c r="L422"/>
  <c r="K422"/>
  <c r="J422"/>
  <c r="I422"/>
  <c r="L421"/>
  <c r="K421"/>
  <c r="J421"/>
  <c r="I421"/>
  <c r="L420"/>
  <c r="K420"/>
  <c r="J420"/>
  <c r="I420"/>
  <c r="L419"/>
  <c r="K419"/>
  <c r="J419"/>
  <c r="I419"/>
  <c r="L418"/>
  <c r="K418"/>
  <c r="J418"/>
  <c r="I418"/>
  <c r="L417"/>
  <c r="K417"/>
  <c r="J417"/>
  <c r="I417"/>
  <c r="L416"/>
  <c r="K416"/>
  <c r="J416"/>
  <c r="I416"/>
  <c r="L415"/>
  <c r="K415"/>
  <c r="J415"/>
  <c r="I415"/>
  <c r="L414"/>
  <c r="K414"/>
  <c r="J414"/>
  <c r="I414"/>
  <c r="L413"/>
  <c r="K413"/>
  <c r="J413"/>
  <c r="I413"/>
  <c r="L412"/>
  <c r="K412"/>
  <c r="J412"/>
  <c r="I412"/>
  <c r="L411"/>
  <c r="K411"/>
  <c r="J411"/>
  <c r="I411"/>
  <c r="L410"/>
  <c r="K410"/>
  <c r="J410"/>
  <c r="I410"/>
  <c r="L409"/>
  <c r="K409"/>
  <c r="J409"/>
  <c r="I409"/>
  <c r="L408"/>
  <c r="K408"/>
  <c r="J408"/>
  <c r="I408"/>
  <c r="L407"/>
  <c r="K407"/>
  <c r="J407"/>
  <c r="I407"/>
  <c r="L406"/>
  <c r="K406"/>
  <c r="J406"/>
  <c r="I406"/>
  <c r="L405"/>
  <c r="K405"/>
  <c r="J405"/>
  <c r="I405"/>
  <c r="L404"/>
  <c r="K404"/>
  <c r="J404"/>
  <c r="I404"/>
  <c r="L403"/>
  <c r="K403"/>
  <c r="J403"/>
  <c r="I403"/>
  <c r="L402"/>
  <c r="K402"/>
  <c r="J402"/>
  <c r="I402"/>
  <c r="L401"/>
  <c r="K401"/>
  <c r="J401"/>
  <c r="I401"/>
  <c r="L400"/>
  <c r="K400"/>
  <c r="J400"/>
  <c r="I400"/>
  <c r="L399"/>
  <c r="K399"/>
  <c r="J399"/>
  <c r="I399"/>
  <c r="L398"/>
  <c r="K398"/>
  <c r="J398"/>
  <c r="I398"/>
  <c r="L397"/>
  <c r="K397"/>
  <c r="J397"/>
  <c r="I397"/>
  <c r="L396"/>
  <c r="K396"/>
  <c r="J396"/>
  <c r="I396"/>
  <c r="L395"/>
  <c r="K395"/>
  <c r="J395"/>
  <c r="I395"/>
  <c r="L394"/>
  <c r="K394"/>
  <c r="J394"/>
  <c r="I394"/>
  <c r="L393"/>
  <c r="K393"/>
  <c r="J393"/>
  <c r="I393"/>
  <c r="L392"/>
  <c r="K392"/>
  <c r="J392"/>
  <c r="I392"/>
  <c r="L391"/>
  <c r="K391"/>
  <c r="J391"/>
  <c r="I391"/>
  <c r="L390"/>
  <c r="K390"/>
  <c r="J390"/>
  <c r="I390"/>
  <c r="L389"/>
  <c r="K389"/>
  <c r="J389"/>
  <c r="I389"/>
  <c r="L388"/>
  <c r="K388"/>
  <c r="J388"/>
  <c r="I388"/>
  <c r="L387"/>
  <c r="K387"/>
  <c r="J387"/>
  <c r="I387"/>
  <c r="L386"/>
  <c r="K386"/>
  <c r="J386"/>
  <c r="I386"/>
  <c r="L385"/>
  <c r="K385"/>
  <c r="J385"/>
  <c r="I385"/>
  <c r="L384"/>
  <c r="K384"/>
  <c r="J384"/>
  <c r="I384"/>
  <c r="L383"/>
  <c r="K383"/>
  <c r="J383"/>
  <c r="I383"/>
  <c r="L382"/>
  <c r="K382"/>
  <c r="J382"/>
  <c r="I382"/>
  <c r="L381"/>
  <c r="K381"/>
  <c r="J381"/>
  <c r="I381"/>
  <c r="L380"/>
  <c r="K380"/>
  <c r="J380"/>
  <c r="I380"/>
  <c r="L379"/>
  <c r="K379"/>
  <c r="J379"/>
  <c r="I379"/>
  <c r="L378"/>
  <c r="K378"/>
  <c r="J378"/>
  <c r="I378"/>
  <c r="L377"/>
  <c r="K377"/>
  <c r="J377"/>
  <c r="I377"/>
  <c r="L376"/>
  <c r="K376"/>
  <c r="J376"/>
  <c r="I376"/>
  <c r="L375"/>
  <c r="K375"/>
  <c r="J375"/>
  <c r="I375"/>
  <c r="L374"/>
  <c r="K374"/>
  <c r="J374"/>
  <c r="I374"/>
  <c r="L373"/>
  <c r="K373"/>
  <c r="J373"/>
  <c r="I373"/>
  <c r="L372"/>
  <c r="K372"/>
  <c r="J372"/>
  <c r="I372"/>
  <c r="L371"/>
  <c r="K371"/>
  <c r="J371"/>
  <c r="I371"/>
  <c r="L370"/>
  <c r="K370"/>
  <c r="J370"/>
  <c r="I370"/>
  <c r="L369"/>
  <c r="K369"/>
  <c r="J369"/>
  <c r="I369"/>
  <c r="L368"/>
  <c r="K368"/>
  <c r="J368"/>
  <c r="I368"/>
  <c r="L367"/>
  <c r="K367"/>
  <c r="J367"/>
  <c r="I367"/>
  <c r="L366"/>
  <c r="K366"/>
  <c r="J366"/>
  <c r="I366"/>
  <c r="L365"/>
  <c r="K365"/>
  <c r="J365"/>
  <c r="I365"/>
  <c r="L364"/>
  <c r="K364"/>
  <c r="J364"/>
  <c r="I364"/>
  <c r="L363"/>
  <c r="K363"/>
  <c r="J363"/>
  <c r="I363"/>
  <c r="L362"/>
  <c r="K362"/>
  <c r="J362"/>
  <c r="I362"/>
  <c r="L361"/>
  <c r="K361"/>
  <c r="J361"/>
  <c r="I361"/>
  <c r="L360"/>
  <c r="K360"/>
  <c r="J360"/>
  <c r="I360"/>
  <c r="L359"/>
  <c r="K359"/>
  <c r="J359"/>
  <c r="I359"/>
  <c r="L358"/>
  <c r="K358"/>
  <c r="J358"/>
  <c r="I358"/>
  <c r="L357"/>
  <c r="K357"/>
  <c r="J357"/>
  <c r="I357"/>
  <c r="L356"/>
  <c r="K356"/>
  <c r="J356"/>
  <c r="I356"/>
  <c r="L355"/>
  <c r="K355"/>
  <c r="J355"/>
  <c r="I355"/>
  <c r="L354"/>
  <c r="K354"/>
  <c r="J354"/>
  <c r="I354"/>
  <c r="L353"/>
  <c r="K353"/>
  <c r="J353"/>
  <c r="I353"/>
  <c r="L352"/>
  <c r="K352"/>
  <c r="J352"/>
  <c r="I352"/>
  <c r="L351"/>
  <c r="K351"/>
  <c r="J351"/>
  <c r="I351"/>
  <c r="L350"/>
  <c r="K350"/>
  <c r="J350"/>
  <c r="I350"/>
  <c r="L349"/>
  <c r="K349"/>
  <c r="J349"/>
  <c r="I349"/>
  <c r="L348"/>
  <c r="K348"/>
  <c r="J348"/>
  <c r="I348"/>
  <c r="L347"/>
  <c r="K347"/>
  <c r="J347"/>
  <c r="I347"/>
  <c r="L346"/>
  <c r="K346"/>
  <c r="J346"/>
  <c r="I346"/>
  <c r="L345"/>
  <c r="K345"/>
  <c r="J345"/>
  <c r="I345"/>
  <c r="L344"/>
  <c r="K344"/>
  <c r="J344"/>
  <c r="I344"/>
  <c r="L343"/>
  <c r="K343"/>
  <c r="J343"/>
  <c r="I343"/>
  <c r="L342"/>
  <c r="K342"/>
  <c r="J342"/>
  <c r="I342"/>
  <c r="L341"/>
  <c r="K341"/>
  <c r="J341"/>
  <c r="I341"/>
  <c r="L340"/>
  <c r="K340"/>
  <c r="J340"/>
  <c r="I340"/>
  <c r="L339"/>
  <c r="K339"/>
  <c r="J339"/>
  <c r="I339"/>
  <c r="L338"/>
  <c r="K338"/>
  <c r="J338"/>
  <c r="I338"/>
  <c r="L337"/>
  <c r="K337"/>
  <c r="J337"/>
  <c r="I337"/>
  <c r="L336"/>
  <c r="K336"/>
  <c r="J336"/>
  <c r="I336"/>
  <c r="L335"/>
  <c r="K335"/>
  <c r="J335"/>
  <c r="I335"/>
  <c r="L334"/>
  <c r="K334"/>
  <c r="J334"/>
  <c r="I334"/>
  <c r="K333"/>
  <c r="J333"/>
  <c r="I333"/>
  <c r="K332"/>
  <c r="J332"/>
  <c r="I332"/>
  <c r="L331"/>
  <c r="K331"/>
  <c r="J331"/>
  <c r="I331"/>
  <c r="L330"/>
  <c r="K330"/>
  <c r="J330"/>
  <c r="I330"/>
  <c r="L329"/>
  <c r="K329"/>
  <c r="J329"/>
  <c r="I329"/>
  <c r="L328"/>
  <c r="K328"/>
  <c r="J328"/>
  <c r="I328"/>
  <c r="L327"/>
  <c r="K327"/>
  <c r="J327"/>
  <c r="I327"/>
  <c r="L326"/>
  <c r="K326"/>
  <c r="J326"/>
  <c r="I326"/>
  <c r="L325"/>
  <c r="K325"/>
  <c r="J325"/>
  <c r="I325"/>
  <c r="L324"/>
  <c r="K324"/>
  <c r="J324"/>
  <c r="I324"/>
  <c r="L323"/>
  <c r="K323"/>
  <c r="J323"/>
  <c r="I323"/>
  <c r="L322"/>
  <c r="K322"/>
  <c r="J322"/>
  <c r="I322"/>
  <c r="L321"/>
  <c r="K321"/>
  <c r="J321"/>
  <c r="I321"/>
  <c r="L320"/>
  <c r="K320"/>
  <c r="J320"/>
  <c r="I320"/>
  <c r="L319"/>
  <c r="K319"/>
  <c r="J319"/>
  <c r="I319"/>
  <c r="L318"/>
  <c r="K318"/>
  <c r="J318"/>
  <c r="I318"/>
  <c r="L317"/>
  <c r="K317"/>
  <c r="J317"/>
  <c r="I317"/>
  <c r="L316"/>
  <c r="K316"/>
  <c r="J316"/>
  <c r="I316"/>
  <c r="L315"/>
  <c r="K315"/>
  <c r="J315"/>
  <c r="I315"/>
  <c r="L314"/>
  <c r="K314"/>
  <c r="J314"/>
  <c r="I314"/>
  <c r="L313"/>
  <c r="K313"/>
  <c r="J313"/>
  <c r="I313"/>
  <c r="L312"/>
  <c r="K312"/>
  <c r="J312"/>
  <c r="I312"/>
  <c r="L311"/>
  <c r="K311"/>
  <c r="J311"/>
  <c r="I311"/>
  <c r="L310"/>
  <c r="K310"/>
  <c r="J310"/>
  <c r="I310"/>
  <c r="L309"/>
  <c r="K309"/>
  <c r="J309"/>
  <c r="I309"/>
  <c r="L308"/>
  <c r="K308"/>
  <c r="J308"/>
  <c r="I308"/>
  <c r="L307"/>
  <c r="K307"/>
  <c r="J307"/>
  <c r="I307"/>
  <c r="L306"/>
  <c r="K306"/>
  <c r="J306"/>
  <c r="I306"/>
  <c r="L305"/>
  <c r="K305"/>
  <c r="J305"/>
  <c r="I305"/>
  <c r="L304"/>
  <c r="K304"/>
  <c r="J304"/>
  <c r="I304"/>
  <c r="L303"/>
  <c r="K303"/>
  <c r="J303"/>
  <c r="I303"/>
  <c r="L302"/>
  <c r="K302"/>
  <c r="J302"/>
  <c r="I302"/>
  <c r="L301"/>
  <c r="K301"/>
  <c r="J301"/>
  <c r="I301"/>
  <c r="L300"/>
  <c r="K300"/>
  <c r="J300"/>
  <c r="I300"/>
  <c r="L299"/>
  <c r="K299"/>
  <c r="J299"/>
  <c r="I299"/>
  <c r="L298"/>
  <c r="K298"/>
  <c r="J298"/>
  <c r="I298"/>
  <c r="L297"/>
  <c r="K297"/>
  <c r="J297"/>
  <c r="I297"/>
  <c r="L296"/>
  <c r="K296"/>
  <c r="J296"/>
  <c r="I296"/>
  <c r="L295"/>
  <c r="K295"/>
  <c r="J295"/>
  <c r="I295"/>
  <c r="L294"/>
  <c r="K294"/>
  <c r="J294"/>
  <c r="I294"/>
  <c r="L293"/>
  <c r="K293"/>
  <c r="J293"/>
  <c r="I293"/>
  <c r="L292"/>
  <c r="K292"/>
  <c r="J292"/>
  <c r="I292"/>
  <c r="L291"/>
  <c r="K291"/>
  <c r="J291"/>
  <c r="I291"/>
  <c r="L290"/>
  <c r="K290"/>
  <c r="J290"/>
  <c r="I290"/>
  <c r="L289"/>
  <c r="K289"/>
  <c r="J289"/>
  <c r="I289"/>
  <c r="L288"/>
  <c r="K288"/>
  <c r="J288"/>
  <c r="I288"/>
  <c r="L287"/>
  <c r="K287"/>
  <c r="J287"/>
  <c r="I287"/>
  <c r="L286"/>
  <c r="K286"/>
  <c r="J286"/>
  <c r="I286"/>
  <c r="L285"/>
  <c r="K285"/>
  <c r="J285"/>
  <c r="I285"/>
  <c r="L284"/>
  <c r="K284"/>
  <c r="J284"/>
  <c r="I284"/>
  <c r="L283"/>
  <c r="K283"/>
  <c r="J283"/>
  <c r="I283"/>
  <c r="L282"/>
  <c r="K282"/>
  <c r="J282"/>
  <c r="I282"/>
  <c r="L281"/>
  <c r="K281"/>
  <c r="J281"/>
  <c r="I281"/>
  <c r="H544"/>
  <c r="H543"/>
  <c r="H542"/>
  <c r="H541"/>
  <c r="H540"/>
  <c r="H538"/>
  <c r="H537"/>
  <c r="H536"/>
  <c r="H535"/>
  <c r="H534"/>
  <c r="H533"/>
  <c r="H532"/>
  <c r="H531"/>
  <c r="H530"/>
  <c r="H529"/>
  <c r="H528"/>
  <c r="H527"/>
  <c r="H526"/>
  <c r="H525"/>
  <c r="H524"/>
  <c r="H523"/>
  <c r="H522"/>
  <c r="H521"/>
  <c r="H520"/>
  <c r="H519"/>
  <c r="H518"/>
  <c r="H517"/>
  <c r="H516"/>
  <c r="H515"/>
  <c r="H514"/>
  <c r="H513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1"/>
  <c r="D441" s="1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D399" s="1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9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D331" s="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7"/>
  <c r="H296"/>
  <c r="H295"/>
  <c r="H294"/>
  <c r="H293"/>
  <c r="H292"/>
  <c r="H291"/>
  <c r="H290"/>
  <c r="H289"/>
  <c r="H288"/>
  <c r="H287"/>
  <c r="H286"/>
  <c r="H285"/>
  <c r="H284"/>
  <c r="H283"/>
  <c r="H282"/>
  <c r="H281"/>
  <c r="L278"/>
  <c r="L277"/>
  <c r="L276"/>
  <c r="L275"/>
  <c r="L274"/>
  <c r="L272"/>
  <c r="L271"/>
  <c r="L270"/>
  <c r="L269"/>
  <c r="L268"/>
  <c r="L267"/>
  <c r="L266"/>
  <c r="L265"/>
  <c r="L264"/>
  <c r="L263"/>
  <c r="L262"/>
  <c r="L261"/>
  <c r="L260"/>
  <c r="L259"/>
  <c r="L258"/>
  <c r="L257"/>
  <c r="L256"/>
  <c r="L255"/>
  <c r="L254"/>
  <c r="L253"/>
  <c r="L252"/>
  <c r="L251"/>
  <c r="L250"/>
  <c r="L249"/>
  <c r="L248"/>
  <c r="L247"/>
  <c r="L246"/>
  <c r="L245"/>
  <c r="L244"/>
  <c r="L243"/>
  <c r="L242"/>
  <c r="L241"/>
  <c r="L240"/>
  <c r="L239"/>
  <c r="L238"/>
  <c r="L237"/>
  <c r="L236"/>
  <c r="L235"/>
  <c r="L234"/>
  <c r="L233"/>
  <c r="L232"/>
  <c r="L231"/>
  <c r="L230"/>
  <c r="L229"/>
  <c r="L228"/>
  <c r="L227"/>
  <c r="L226"/>
  <c r="L225"/>
  <c r="L224"/>
  <c r="L223"/>
  <c r="L222"/>
  <c r="L221"/>
  <c r="L220"/>
  <c r="L219"/>
  <c r="L218"/>
  <c r="L217"/>
  <c r="L216"/>
  <c r="L215"/>
  <c r="L214"/>
  <c r="L213"/>
  <c r="L212"/>
  <c r="L211"/>
  <c r="L210"/>
  <c r="L209"/>
  <c r="L208"/>
  <c r="L207"/>
  <c r="L206"/>
  <c r="L205"/>
  <c r="L204"/>
  <c r="L203"/>
  <c r="L202"/>
  <c r="L201"/>
  <c r="L200"/>
  <c r="L199"/>
  <c r="L198"/>
  <c r="L197"/>
  <c r="L196"/>
  <c r="L195"/>
  <c r="L194"/>
  <c r="L193"/>
  <c r="L192"/>
  <c r="L191"/>
  <c r="L190"/>
  <c r="L189"/>
  <c r="L188"/>
  <c r="L187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6"/>
  <c r="K278"/>
  <c r="K277"/>
  <c r="K276"/>
  <c r="K275"/>
  <c r="K274"/>
  <c r="K272"/>
  <c r="K271"/>
  <c r="K270"/>
  <c r="K269"/>
  <c r="K268"/>
  <c r="K267"/>
  <c r="K266"/>
  <c r="K265"/>
  <c r="K264"/>
  <c r="K263"/>
  <c r="K262"/>
  <c r="K261"/>
  <c r="K260"/>
  <c r="K259"/>
  <c r="K258"/>
  <c r="K257"/>
  <c r="K256"/>
  <c r="K255"/>
  <c r="K254"/>
  <c r="K253"/>
  <c r="K252"/>
  <c r="K251"/>
  <c r="K250"/>
  <c r="K249"/>
  <c r="K248"/>
  <c r="K247"/>
  <c r="K246"/>
  <c r="K245"/>
  <c r="K244"/>
  <c r="K243"/>
  <c r="K242"/>
  <c r="K241"/>
  <c r="K240"/>
  <c r="K239"/>
  <c r="K238"/>
  <c r="K237"/>
  <c r="K236"/>
  <c r="K235"/>
  <c r="K234"/>
  <c r="K233"/>
  <c r="K232"/>
  <c r="K231"/>
  <c r="K230"/>
  <c r="K229"/>
  <c r="K228"/>
  <c r="K227"/>
  <c r="K226"/>
  <c r="K225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153"/>
  <c r="K152"/>
  <c r="K151"/>
  <c r="K150"/>
  <c r="K149"/>
  <c r="K148"/>
  <c r="K147"/>
  <c r="K146"/>
  <c r="K145"/>
  <c r="K144"/>
  <c r="K143"/>
  <c r="K142"/>
  <c r="K141"/>
  <c r="K140"/>
  <c r="K139"/>
  <c r="K138"/>
  <c r="K137"/>
  <c r="K136"/>
  <c r="K135"/>
  <c r="K134"/>
  <c r="K133"/>
  <c r="K132"/>
  <c r="K131"/>
  <c r="K130"/>
  <c r="K129"/>
  <c r="K128"/>
  <c r="K127"/>
  <c r="K126"/>
  <c r="K125"/>
  <c r="K124"/>
  <c r="K123"/>
  <c r="K122"/>
  <c r="K121"/>
  <c r="K120"/>
  <c r="K119"/>
  <c r="K118"/>
  <c r="K117"/>
  <c r="K116"/>
  <c r="K115"/>
  <c r="K114"/>
  <c r="K113"/>
  <c r="K112"/>
  <c r="K111"/>
  <c r="K110"/>
  <c r="K109"/>
  <c r="K108"/>
  <c r="K107"/>
  <c r="K106"/>
  <c r="K105"/>
  <c r="K104"/>
  <c r="K103"/>
  <c r="K102"/>
  <c r="K101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50"/>
  <c r="K49"/>
  <c r="K48"/>
  <c r="K47"/>
  <c r="K46"/>
  <c r="K45"/>
  <c r="K44"/>
  <c r="K43"/>
  <c r="K42"/>
  <c r="K41"/>
  <c r="K40"/>
  <c r="K39"/>
  <c r="K38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J278"/>
  <c r="J277"/>
  <c r="J276"/>
  <c r="J275"/>
  <c r="J274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5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153"/>
  <c r="J152"/>
  <c r="J151"/>
  <c r="J150"/>
  <c r="J149"/>
  <c r="J148"/>
  <c r="J147"/>
  <c r="J146"/>
  <c r="J145"/>
  <c r="J144"/>
  <c r="J143"/>
  <c r="J142"/>
  <c r="J141"/>
  <c r="J140"/>
  <c r="J139"/>
  <c r="J138"/>
  <c r="J137"/>
  <c r="J136"/>
  <c r="J135"/>
  <c r="J134"/>
  <c r="J133"/>
  <c r="J132"/>
  <c r="J131"/>
  <c r="J130"/>
  <c r="J129"/>
  <c r="J128"/>
  <c r="J127"/>
  <c r="J126"/>
  <c r="J125"/>
  <c r="J124"/>
  <c r="J123"/>
  <c r="J122"/>
  <c r="J121"/>
  <c r="J120"/>
  <c r="J119"/>
  <c r="J118"/>
  <c r="J117"/>
  <c r="J116"/>
  <c r="J115"/>
  <c r="J114"/>
  <c r="J113"/>
  <c r="J112"/>
  <c r="J111"/>
  <c r="J110"/>
  <c r="J109"/>
  <c r="J108"/>
  <c r="J107"/>
  <c r="J106"/>
  <c r="J105"/>
  <c r="J104"/>
  <c r="J103"/>
  <c r="J102"/>
  <c r="J101"/>
  <c r="J100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H278"/>
  <c r="H277"/>
  <c r="H276"/>
  <c r="H275"/>
  <c r="H274"/>
  <c r="H272"/>
  <c r="H271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277" i="300"/>
  <c r="H276"/>
  <c r="H275"/>
  <c r="H274"/>
  <c r="H273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5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I62" i="92"/>
  <c r="E539" l="1"/>
  <c r="D539"/>
  <c r="AD539"/>
  <c r="AH539" s="1"/>
  <c r="D328"/>
  <c r="AH273"/>
  <c r="E273"/>
  <c r="E62"/>
  <c r="K279"/>
  <c r="J279"/>
  <c r="L279"/>
  <c r="H279"/>
  <c r="I121"/>
  <c r="E121" s="1"/>
  <c r="I128"/>
  <c r="E128" s="1"/>
  <c r="I278"/>
  <c r="E278" s="1"/>
  <c r="I277"/>
  <c r="E277" s="1"/>
  <c r="I276"/>
  <c r="E276" s="1"/>
  <c r="I275"/>
  <c r="E275" s="1"/>
  <c r="I274"/>
  <c r="E274" s="1"/>
  <c r="I272"/>
  <c r="E272" s="1"/>
  <c r="I271"/>
  <c r="E271" s="1"/>
  <c r="I270"/>
  <c r="E270" s="1"/>
  <c r="I269"/>
  <c r="E269" s="1"/>
  <c r="I268"/>
  <c r="E268" s="1"/>
  <c r="I267"/>
  <c r="E267" s="1"/>
  <c r="I266"/>
  <c r="E266" s="1"/>
  <c r="I265"/>
  <c r="E265" s="1"/>
  <c r="I264"/>
  <c r="E264" s="1"/>
  <c r="I263"/>
  <c r="E263" s="1"/>
  <c r="I262"/>
  <c r="E262" s="1"/>
  <c r="I261"/>
  <c r="E261" s="1"/>
  <c r="I260"/>
  <c r="E260" s="1"/>
  <c r="I259"/>
  <c r="E259" s="1"/>
  <c r="I258"/>
  <c r="E258" s="1"/>
  <c r="I257"/>
  <c r="E257" s="1"/>
  <c r="I256"/>
  <c r="E256" s="1"/>
  <c r="I255"/>
  <c r="E255" s="1"/>
  <c r="I254"/>
  <c r="E254" s="1"/>
  <c r="I253"/>
  <c r="E253" s="1"/>
  <c r="I252"/>
  <c r="E252" s="1"/>
  <c r="I251"/>
  <c r="E251" s="1"/>
  <c r="I250"/>
  <c r="E250" s="1"/>
  <c r="I249"/>
  <c r="E249" s="1"/>
  <c r="I248"/>
  <c r="E248" s="1"/>
  <c r="I247"/>
  <c r="E247" s="1"/>
  <c r="I246"/>
  <c r="E246" s="1"/>
  <c r="I245"/>
  <c r="E245" s="1"/>
  <c r="I244"/>
  <c r="E244" s="1"/>
  <c r="I243"/>
  <c r="E243" s="1"/>
  <c r="I242"/>
  <c r="E242" s="1"/>
  <c r="I241"/>
  <c r="E241" s="1"/>
  <c r="I240"/>
  <c r="E240" s="1"/>
  <c r="I239"/>
  <c r="E239" s="1"/>
  <c r="I238"/>
  <c r="E238" s="1"/>
  <c r="I237"/>
  <c r="E237" s="1"/>
  <c r="I236"/>
  <c r="E236" s="1"/>
  <c r="I235"/>
  <c r="E235" s="1"/>
  <c r="I234"/>
  <c r="E234" s="1"/>
  <c r="I233"/>
  <c r="E233" s="1"/>
  <c r="I232"/>
  <c r="E232" s="1"/>
  <c r="I231"/>
  <c r="E231" s="1"/>
  <c r="I230"/>
  <c r="E230" s="1"/>
  <c r="I229"/>
  <c r="E229" s="1"/>
  <c r="I228"/>
  <c r="E228" s="1"/>
  <c r="I227"/>
  <c r="E227" s="1"/>
  <c r="I226"/>
  <c r="E226" s="1"/>
  <c r="I225"/>
  <c r="E225" s="1"/>
  <c r="I224"/>
  <c r="E224" s="1"/>
  <c r="I223"/>
  <c r="E223" s="1"/>
  <c r="I222"/>
  <c r="E222" s="1"/>
  <c r="I221"/>
  <c r="E221" s="1"/>
  <c r="I220"/>
  <c r="E220" s="1"/>
  <c r="I219"/>
  <c r="E219" s="1"/>
  <c r="I218"/>
  <c r="E218" s="1"/>
  <c r="I217"/>
  <c r="E217" s="1"/>
  <c r="I216"/>
  <c r="E216" s="1"/>
  <c r="I215"/>
  <c r="E215" s="1"/>
  <c r="I214"/>
  <c r="E214" s="1"/>
  <c r="I213"/>
  <c r="E213" s="1"/>
  <c r="I212"/>
  <c r="E212" s="1"/>
  <c r="I211"/>
  <c r="E211" s="1"/>
  <c r="I210"/>
  <c r="E210" s="1"/>
  <c r="I209"/>
  <c r="E209" s="1"/>
  <c r="I208"/>
  <c r="E208" s="1"/>
  <c r="I207"/>
  <c r="E207" s="1"/>
  <c r="I206"/>
  <c r="E206" s="1"/>
  <c r="I205"/>
  <c r="E205" s="1"/>
  <c r="I204"/>
  <c r="E204" s="1"/>
  <c r="I203"/>
  <c r="E203" s="1"/>
  <c r="I202"/>
  <c r="E202" s="1"/>
  <c r="I201"/>
  <c r="E201" s="1"/>
  <c r="I200"/>
  <c r="E200" s="1"/>
  <c r="I199"/>
  <c r="E199" s="1"/>
  <c r="I198"/>
  <c r="E198" s="1"/>
  <c r="I197"/>
  <c r="E197" s="1"/>
  <c r="I196"/>
  <c r="E196" s="1"/>
  <c r="I195"/>
  <c r="E195" s="1"/>
  <c r="I194"/>
  <c r="E194" s="1"/>
  <c r="I193"/>
  <c r="E193" s="1"/>
  <c r="I192"/>
  <c r="E192" s="1"/>
  <c r="I191"/>
  <c r="E191" s="1"/>
  <c r="I190"/>
  <c r="E190" s="1"/>
  <c r="I189"/>
  <c r="E189" s="1"/>
  <c r="I188"/>
  <c r="E188" s="1"/>
  <c r="I187"/>
  <c r="E187" s="1"/>
  <c r="I186"/>
  <c r="E186" s="1"/>
  <c r="I185"/>
  <c r="E185" s="1"/>
  <c r="I184"/>
  <c r="E184" s="1"/>
  <c r="I183"/>
  <c r="E183" s="1"/>
  <c r="I182"/>
  <c r="E182" s="1"/>
  <c r="I181"/>
  <c r="E181" s="1"/>
  <c r="I180"/>
  <c r="E180" s="1"/>
  <c r="I179"/>
  <c r="E179" s="1"/>
  <c r="I178"/>
  <c r="E178" s="1"/>
  <c r="I177"/>
  <c r="E177" s="1"/>
  <c r="I176"/>
  <c r="E176" s="1"/>
  <c r="I175"/>
  <c r="E175" s="1"/>
  <c r="I174"/>
  <c r="E174" s="1"/>
  <c r="I173"/>
  <c r="E173" s="1"/>
  <c r="I172"/>
  <c r="E172" s="1"/>
  <c r="I171"/>
  <c r="E171" s="1"/>
  <c r="I170"/>
  <c r="E170" s="1"/>
  <c r="I169"/>
  <c r="E169" s="1"/>
  <c r="I168"/>
  <c r="E168" s="1"/>
  <c r="I167"/>
  <c r="E167" s="1"/>
  <c r="I166"/>
  <c r="E166" s="1"/>
  <c r="I165"/>
  <c r="E165" s="1"/>
  <c r="I164"/>
  <c r="E164" s="1"/>
  <c r="I163"/>
  <c r="E163" s="1"/>
  <c r="I162"/>
  <c r="E162" s="1"/>
  <c r="I161"/>
  <c r="E161" s="1"/>
  <c r="I160"/>
  <c r="E160" s="1"/>
  <c r="I159"/>
  <c r="E159" s="1"/>
  <c r="I158"/>
  <c r="E158" s="1"/>
  <c r="I157"/>
  <c r="E157" s="1"/>
  <c r="I156"/>
  <c r="E156" s="1"/>
  <c r="I155"/>
  <c r="E155" s="1"/>
  <c r="I154"/>
  <c r="E154" s="1"/>
  <c r="I153"/>
  <c r="E153" s="1"/>
  <c r="I152"/>
  <c r="E152" s="1"/>
  <c r="I151"/>
  <c r="E151" s="1"/>
  <c r="I150"/>
  <c r="E150" s="1"/>
  <c r="I149"/>
  <c r="E149" s="1"/>
  <c r="I148"/>
  <c r="E148" s="1"/>
  <c r="I147"/>
  <c r="E147" s="1"/>
  <c r="I146"/>
  <c r="E146" s="1"/>
  <c r="I145"/>
  <c r="E145" s="1"/>
  <c r="I144"/>
  <c r="E144" s="1"/>
  <c r="I143"/>
  <c r="E143" s="1"/>
  <c r="I142"/>
  <c r="E142" s="1"/>
  <c r="I141"/>
  <c r="E141" s="1"/>
  <c r="I140"/>
  <c r="E140" s="1"/>
  <c r="I139"/>
  <c r="E139" s="1"/>
  <c r="I138"/>
  <c r="E138" s="1"/>
  <c r="I137"/>
  <c r="E137" s="1"/>
  <c r="I136"/>
  <c r="E136" s="1"/>
  <c r="I135"/>
  <c r="E135" s="1"/>
  <c r="I134"/>
  <c r="E134" s="1"/>
  <c r="I133"/>
  <c r="E133" s="1"/>
  <c r="I132"/>
  <c r="E132" s="1"/>
  <c r="I131"/>
  <c r="E131" s="1"/>
  <c r="I130"/>
  <c r="E130" s="1"/>
  <c r="I129"/>
  <c r="E129" s="1"/>
  <c r="I127"/>
  <c r="E127" s="1"/>
  <c r="I126"/>
  <c r="E126" s="1"/>
  <c r="I125"/>
  <c r="E125" s="1"/>
  <c r="I124"/>
  <c r="E124" s="1"/>
  <c r="I123"/>
  <c r="E123" s="1"/>
  <c r="I122"/>
  <c r="E122" s="1"/>
  <c r="I120"/>
  <c r="E120" s="1"/>
  <c r="I119"/>
  <c r="E119" s="1"/>
  <c r="I118"/>
  <c r="E118" s="1"/>
  <c r="I117"/>
  <c r="E117" s="1"/>
  <c r="I116"/>
  <c r="E116" s="1"/>
  <c r="I115"/>
  <c r="E115" s="1"/>
  <c r="I114"/>
  <c r="E114" s="1"/>
  <c r="I113"/>
  <c r="E113" s="1"/>
  <c r="I112"/>
  <c r="E112" s="1"/>
  <c r="I111"/>
  <c r="E111" s="1"/>
  <c r="I110"/>
  <c r="E110" s="1"/>
  <c r="I109"/>
  <c r="E109" s="1"/>
  <c r="I108"/>
  <c r="E108" s="1"/>
  <c r="I107"/>
  <c r="E107" s="1"/>
  <c r="I106"/>
  <c r="E106" s="1"/>
  <c r="I105"/>
  <c r="E105" s="1"/>
  <c r="I104"/>
  <c r="E104" s="1"/>
  <c r="I103"/>
  <c r="E103" s="1"/>
  <c r="I102"/>
  <c r="E102" s="1"/>
  <c r="I101"/>
  <c r="E101" s="1"/>
  <c r="I100"/>
  <c r="E100" s="1"/>
  <c r="I99"/>
  <c r="E99" s="1"/>
  <c r="I98"/>
  <c r="E98" s="1"/>
  <c r="I97"/>
  <c r="E97" s="1"/>
  <c r="I96"/>
  <c r="E96" s="1"/>
  <c r="I95"/>
  <c r="E95" s="1"/>
  <c r="I94"/>
  <c r="E94" s="1"/>
  <c r="I93"/>
  <c r="E93" s="1"/>
  <c r="I92"/>
  <c r="E92" s="1"/>
  <c r="I91"/>
  <c r="E91" s="1"/>
  <c r="I90"/>
  <c r="E90" s="1"/>
  <c r="I89"/>
  <c r="E89" s="1"/>
  <c r="I88"/>
  <c r="E88" s="1"/>
  <c r="I87"/>
  <c r="E87" s="1"/>
  <c r="I86"/>
  <c r="E86" s="1"/>
  <c r="I85"/>
  <c r="E85" s="1"/>
  <c r="I84"/>
  <c r="E84" s="1"/>
  <c r="I83"/>
  <c r="E83" s="1"/>
  <c r="I82"/>
  <c r="E82" s="1"/>
  <c r="I81"/>
  <c r="E81" s="1"/>
  <c r="I80"/>
  <c r="E80" s="1"/>
  <c r="I79"/>
  <c r="E79" s="1"/>
  <c r="I78"/>
  <c r="E78" s="1"/>
  <c r="I77"/>
  <c r="E77" s="1"/>
  <c r="I76"/>
  <c r="E76" s="1"/>
  <c r="I75"/>
  <c r="E75" s="1"/>
  <c r="I74"/>
  <c r="E74" s="1"/>
  <c r="I73"/>
  <c r="E73" s="1"/>
  <c r="I72"/>
  <c r="E72" s="1"/>
  <c r="I71"/>
  <c r="E71" s="1"/>
  <c r="I70"/>
  <c r="E70" s="1"/>
  <c r="I69"/>
  <c r="E69" s="1"/>
  <c r="I68"/>
  <c r="E68" s="1"/>
  <c r="I67"/>
  <c r="E67" s="1"/>
  <c r="I66"/>
  <c r="E66" s="1"/>
  <c r="I65"/>
  <c r="E65" s="1"/>
  <c r="I64"/>
  <c r="E64" s="1"/>
  <c r="I63"/>
  <c r="E63" s="1"/>
  <c r="I61"/>
  <c r="E61" s="1"/>
  <c r="I60"/>
  <c r="E60" s="1"/>
  <c r="I59"/>
  <c r="E59" s="1"/>
  <c r="I58"/>
  <c r="E58" s="1"/>
  <c r="I57"/>
  <c r="E57" s="1"/>
  <c r="I56"/>
  <c r="E56" s="1"/>
  <c r="I55"/>
  <c r="E55" s="1"/>
  <c r="I54"/>
  <c r="E54" s="1"/>
  <c r="I53"/>
  <c r="E53" s="1"/>
  <c r="I52"/>
  <c r="E52" s="1"/>
  <c r="I51"/>
  <c r="E51" s="1"/>
  <c r="I50"/>
  <c r="E50" s="1"/>
  <c r="I49"/>
  <c r="E49" s="1"/>
  <c r="I48"/>
  <c r="E48" s="1"/>
  <c r="I47"/>
  <c r="E47" s="1"/>
  <c r="I46"/>
  <c r="E46" s="1"/>
  <c r="I45"/>
  <c r="E45" s="1"/>
  <c r="I44"/>
  <c r="E44" s="1"/>
  <c r="I43"/>
  <c r="E43" s="1"/>
  <c r="I42"/>
  <c r="E42" s="1"/>
  <c r="I41"/>
  <c r="E41" s="1"/>
  <c r="I40"/>
  <c r="E40" s="1"/>
  <c r="I39"/>
  <c r="E39" s="1"/>
  <c r="I38"/>
  <c r="E38" s="1"/>
  <c r="I37"/>
  <c r="E37" s="1"/>
  <c r="I36"/>
  <c r="E36" s="1"/>
  <c r="I35"/>
  <c r="E35" s="1"/>
  <c r="I34"/>
  <c r="E34" s="1"/>
  <c r="I33"/>
  <c r="E33" s="1"/>
  <c r="I32"/>
  <c r="E32" s="1"/>
  <c r="I31"/>
  <c r="E31" s="1"/>
  <c r="I30"/>
  <c r="E30" s="1"/>
  <c r="I29"/>
  <c r="E29" s="1"/>
  <c r="I28"/>
  <c r="E28" s="1"/>
  <c r="I27"/>
  <c r="E27" s="1"/>
  <c r="I26"/>
  <c r="E26" s="1"/>
  <c r="I25"/>
  <c r="E25" s="1"/>
  <c r="I24"/>
  <c r="E24" s="1"/>
  <c r="I23"/>
  <c r="E23" s="1"/>
  <c r="I22"/>
  <c r="E22" s="1"/>
  <c r="I21"/>
  <c r="E21" s="1"/>
  <c r="I20"/>
  <c r="E20" s="1"/>
  <c r="I19"/>
  <c r="E19" s="1"/>
  <c r="I18"/>
  <c r="E18" s="1"/>
  <c r="I17"/>
  <c r="E17" s="1"/>
  <c r="I16"/>
  <c r="I279" l="1"/>
  <c r="E288" i="300" l="1"/>
  <c r="AG544" i="92"/>
  <c r="AG542"/>
  <c r="AG540"/>
  <c r="AG537"/>
  <c r="AG535"/>
  <c r="AG533"/>
  <c r="AG531"/>
  <c r="AG529"/>
  <c r="AG527"/>
  <c r="AG525"/>
  <c r="AG523"/>
  <c r="AG521"/>
  <c r="AG519"/>
  <c r="AG517"/>
  <c r="AG515"/>
  <c r="AG513"/>
  <c r="AG511"/>
  <c r="AG509"/>
  <c r="AG507"/>
  <c r="AG505"/>
  <c r="AG503"/>
  <c r="AG501"/>
  <c r="AG499"/>
  <c r="AG497"/>
  <c r="AG495"/>
  <c r="AG493"/>
  <c r="AG491"/>
  <c r="AG489"/>
  <c r="AG487"/>
  <c r="AG485"/>
  <c r="AG483"/>
  <c r="AG481"/>
  <c r="AG479"/>
  <c r="AG475"/>
  <c r="AG473"/>
  <c r="AG471"/>
  <c r="AG469"/>
  <c r="AG467"/>
  <c r="AG465"/>
  <c r="AG463"/>
  <c r="AG461"/>
  <c r="AG459"/>
  <c r="AG457"/>
  <c r="AG455"/>
  <c r="AG453"/>
  <c r="AG451"/>
  <c r="AG449"/>
  <c r="AG447"/>
  <c r="AG445"/>
  <c r="AG443"/>
  <c r="AG441"/>
  <c r="AG439"/>
  <c r="AG437"/>
  <c r="AG435"/>
  <c r="AG433"/>
  <c r="AG431"/>
  <c r="AG429"/>
  <c r="AG427"/>
  <c r="AG425"/>
  <c r="AG423"/>
  <c r="AG421"/>
  <c r="AG419"/>
  <c r="AG417"/>
  <c r="AG415"/>
  <c r="AG413"/>
  <c r="AG411"/>
  <c r="AG409"/>
  <c r="AG407"/>
  <c r="AG405"/>
  <c r="AG403"/>
  <c r="AG401"/>
  <c r="AG399"/>
  <c r="AG397"/>
  <c r="AG395"/>
  <c r="AG393"/>
  <c r="AG391"/>
  <c r="AG389"/>
  <c r="AG387"/>
  <c r="AG385"/>
  <c r="AG383"/>
  <c r="AG381"/>
  <c r="AG379"/>
  <c r="AG377"/>
  <c r="AG375"/>
  <c r="AG373"/>
  <c r="AG371"/>
  <c r="AG369"/>
  <c r="AG367"/>
  <c r="AG365"/>
  <c r="AG363"/>
  <c r="AG361"/>
  <c r="AG359"/>
  <c r="AG357"/>
  <c r="AG355"/>
  <c r="AG353"/>
  <c r="AG351"/>
  <c r="AG349"/>
  <c r="AG347"/>
  <c r="AG345"/>
  <c r="AG343"/>
  <c r="AG341"/>
  <c r="AG339"/>
  <c r="AG337"/>
  <c r="AG335"/>
  <c r="AG333"/>
  <c r="AG331"/>
  <c r="AG330"/>
  <c r="AG328"/>
  <c r="AG326"/>
  <c r="AG324"/>
  <c r="AG322"/>
  <c r="AG320"/>
  <c r="AG318"/>
  <c r="AG316"/>
  <c r="AG314"/>
  <c r="AG312"/>
  <c r="AG308"/>
  <c r="AG304"/>
  <c r="AG300"/>
  <c r="AG298"/>
  <c r="AG543"/>
  <c r="AG541"/>
  <c r="AG538"/>
  <c r="AG536"/>
  <c r="AG534"/>
  <c r="AG532"/>
  <c r="AG530"/>
  <c r="AG528"/>
  <c r="AG526"/>
  <c r="AG524"/>
  <c r="AG522"/>
  <c r="AG520"/>
  <c r="AG518"/>
  <c r="AG516"/>
  <c r="AG514"/>
  <c r="AG512"/>
  <c r="AG510"/>
  <c r="AG508"/>
  <c r="AG506"/>
  <c r="AG504"/>
  <c r="AG502"/>
  <c r="AG500"/>
  <c r="AG498"/>
  <c r="AG496"/>
  <c r="AG494"/>
  <c r="AG492"/>
  <c r="AG490"/>
  <c r="AG488"/>
  <c r="AG486"/>
  <c r="AG484"/>
  <c r="AG482"/>
  <c r="AG480"/>
  <c r="AG476"/>
  <c r="AG474"/>
  <c r="AG472"/>
  <c r="AG470"/>
  <c r="AG468"/>
  <c r="AG466"/>
  <c r="AG464"/>
  <c r="AG462"/>
  <c r="AG460"/>
  <c r="AG458"/>
  <c r="AG456"/>
  <c r="AG454"/>
  <c r="AG452"/>
  <c r="AG450"/>
  <c r="AG448"/>
  <c r="AG446"/>
  <c r="AG444"/>
  <c r="AG442"/>
  <c r="AG440"/>
  <c r="AG438"/>
  <c r="AG436"/>
  <c r="AG434"/>
  <c r="AG432"/>
  <c r="AG430"/>
  <c r="AG428"/>
  <c r="AG426"/>
  <c r="AG424"/>
  <c r="AG422"/>
  <c r="AG420"/>
  <c r="AG418"/>
  <c r="AG416"/>
  <c r="AG414"/>
  <c r="AG412"/>
  <c r="AG410"/>
  <c r="AG408"/>
  <c r="AG406"/>
  <c r="AG404"/>
  <c r="AG402"/>
  <c r="AG400"/>
  <c r="AG398"/>
  <c r="AG396"/>
  <c r="AG394"/>
  <c r="AG392"/>
  <c r="AG390"/>
  <c r="AG388"/>
  <c r="AG386"/>
  <c r="AG384"/>
  <c r="AG382"/>
  <c r="AG380"/>
  <c r="AG378"/>
  <c r="AG376"/>
  <c r="AG374"/>
  <c r="AG372"/>
  <c r="AG370"/>
  <c r="AG368"/>
  <c r="AG366"/>
  <c r="AG364"/>
  <c r="AG362"/>
  <c r="AG360"/>
  <c r="AG358"/>
  <c r="AG356"/>
  <c r="AG354"/>
  <c r="AG352"/>
  <c r="AG350"/>
  <c r="AG348"/>
  <c r="AG346"/>
  <c r="AG344"/>
  <c r="AG342"/>
  <c r="AG340"/>
  <c r="AG338"/>
  <c r="AG336"/>
  <c r="AG334"/>
  <c r="AG332"/>
  <c r="AG329"/>
  <c r="AG327"/>
  <c r="AG325"/>
  <c r="AG323"/>
  <c r="AG321"/>
  <c r="AG319"/>
  <c r="AG317"/>
  <c r="AG315"/>
  <c r="AG313"/>
  <c r="AG311"/>
  <c r="AG309"/>
  <c r="AG307"/>
  <c r="AG305"/>
  <c r="AG303"/>
  <c r="AG301"/>
  <c r="AG299"/>
  <c r="AG297"/>
  <c r="AG296"/>
  <c r="AG294"/>
  <c r="AG292"/>
  <c r="AG290"/>
  <c r="AG288"/>
  <c r="AG286"/>
  <c r="AG284"/>
  <c r="AG282"/>
  <c r="AF544"/>
  <c r="AF542"/>
  <c r="AF540"/>
  <c r="AF537"/>
  <c r="AF535"/>
  <c r="AF533"/>
  <c r="AF531"/>
  <c r="AF529"/>
  <c r="AF527"/>
  <c r="AF525"/>
  <c r="AF523"/>
  <c r="AF521"/>
  <c r="AF519"/>
  <c r="AF517"/>
  <c r="AF515"/>
  <c r="AF513"/>
  <c r="AF511"/>
  <c r="AF509"/>
  <c r="AF507"/>
  <c r="AF505"/>
  <c r="AF503"/>
  <c r="AF501"/>
  <c r="AF499"/>
  <c r="AF497"/>
  <c r="AF495"/>
  <c r="AF493"/>
  <c r="AF491"/>
  <c r="AF489"/>
  <c r="AF487"/>
  <c r="AF485"/>
  <c r="AF483"/>
  <c r="AF481"/>
  <c r="AF479"/>
  <c r="AF477"/>
  <c r="AF475"/>
  <c r="AF473"/>
  <c r="AF471"/>
  <c r="AF469"/>
  <c r="AF467"/>
  <c r="AF465"/>
  <c r="AF463"/>
  <c r="AF461"/>
  <c r="AF459"/>
  <c r="AF457"/>
  <c r="AF455"/>
  <c r="AF453"/>
  <c r="AF451"/>
  <c r="AF449"/>
  <c r="AF447"/>
  <c r="AF445"/>
  <c r="AF443"/>
  <c r="AF441"/>
  <c r="AF439"/>
  <c r="AF437"/>
  <c r="AF435"/>
  <c r="AF433"/>
  <c r="AF431"/>
  <c r="AF429"/>
  <c r="AF427"/>
  <c r="AF425"/>
  <c r="AF423"/>
  <c r="AF421"/>
  <c r="AF419"/>
  <c r="AF417"/>
  <c r="AF415"/>
  <c r="AF413"/>
  <c r="AF411"/>
  <c r="AF409"/>
  <c r="AF407"/>
  <c r="AF405"/>
  <c r="AF403"/>
  <c r="AF401"/>
  <c r="AF399"/>
  <c r="AF397"/>
  <c r="AF395"/>
  <c r="AF393"/>
  <c r="AF391"/>
  <c r="AF389"/>
  <c r="AF387"/>
  <c r="AF385"/>
  <c r="AF383"/>
  <c r="AF381"/>
  <c r="AF379"/>
  <c r="AF377"/>
  <c r="AF375"/>
  <c r="AF373"/>
  <c r="AF371"/>
  <c r="AF369"/>
  <c r="AF367"/>
  <c r="AF365"/>
  <c r="AF363"/>
  <c r="AF361"/>
  <c r="AF359"/>
  <c r="AF357"/>
  <c r="AF355"/>
  <c r="AF353"/>
  <c r="AF351"/>
  <c r="AF349"/>
  <c r="AF347"/>
  <c r="AF345"/>
  <c r="AF343"/>
  <c r="AF341"/>
  <c r="AF339"/>
  <c r="AF337"/>
  <c r="AF335"/>
  <c r="AF333"/>
  <c r="AF331"/>
  <c r="AF330"/>
  <c r="AF328"/>
  <c r="AF326"/>
  <c r="AF324"/>
  <c r="AF322"/>
  <c r="AF320"/>
  <c r="AF318"/>
  <c r="AF316"/>
  <c r="AF314"/>
  <c r="AF312"/>
  <c r="AF310"/>
  <c r="AF308"/>
  <c r="AF306"/>
  <c r="AF304"/>
  <c r="AF302"/>
  <c r="AF300"/>
  <c r="AF298"/>
  <c r="AF296"/>
  <c r="AF294"/>
  <c r="AF292"/>
  <c r="AF290"/>
  <c r="AF288"/>
  <c r="AF286"/>
  <c r="AF284"/>
  <c r="AE542"/>
  <c r="AE537"/>
  <c r="AE533"/>
  <c r="AE529"/>
  <c r="AE525"/>
  <c r="AE521"/>
  <c r="AE517"/>
  <c r="AE513"/>
  <c r="AE509"/>
  <c r="AE505"/>
  <c r="AE501"/>
  <c r="AE497"/>
  <c r="AE493"/>
  <c r="AE489"/>
  <c r="AE485"/>
  <c r="AE481"/>
  <c r="AE477"/>
  <c r="AE475"/>
  <c r="AE473"/>
  <c r="AE471"/>
  <c r="AE469"/>
  <c r="AE467"/>
  <c r="AE465"/>
  <c r="AE463"/>
  <c r="AE461"/>
  <c r="AE459"/>
  <c r="AE457"/>
  <c r="AE455"/>
  <c r="AE453"/>
  <c r="AE451"/>
  <c r="AE449"/>
  <c r="AE447"/>
  <c r="AE445"/>
  <c r="AE443"/>
  <c r="AE441"/>
  <c r="AE439"/>
  <c r="AE437"/>
  <c r="AE435"/>
  <c r="AE433"/>
  <c r="AE431"/>
  <c r="AE429"/>
  <c r="AE427"/>
  <c r="AE425"/>
  <c r="AE423"/>
  <c r="AE421"/>
  <c r="AE419"/>
  <c r="AE417"/>
  <c r="AE415"/>
  <c r="AE413"/>
  <c r="AE411"/>
  <c r="AE409"/>
  <c r="AE407"/>
  <c r="AE405"/>
  <c r="AE403"/>
  <c r="AE401"/>
  <c r="AE399"/>
  <c r="AE397"/>
  <c r="AE395"/>
  <c r="AE393"/>
  <c r="AE391"/>
  <c r="AE389"/>
  <c r="AE387"/>
  <c r="AE385"/>
  <c r="AE383"/>
  <c r="AE381"/>
  <c r="AE379"/>
  <c r="AE377"/>
  <c r="AE375"/>
  <c r="AE373"/>
  <c r="AE371"/>
  <c r="AE369"/>
  <c r="AE367"/>
  <c r="AE365"/>
  <c r="AE363"/>
  <c r="AE361"/>
  <c r="AE359"/>
  <c r="AE357"/>
  <c r="AE355"/>
  <c r="AE353"/>
  <c r="AE351"/>
  <c r="AE349"/>
  <c r="AE347"/>
  <c r="AE345"/>
  <c r="AE343"/>
  <c r="AE341"/>
  <c r="AE339"/>
  <c r="AE337"/>
  <c r="AE335"/>
  <c r="AE333"/>
  <c r="AE331"/>
  <c r="AE330"/>
  <c r="AE328"/>
  <c r="AE326"/>
  <c r="AE324"/>
  <c r="AE322"/>
  <c r="AE320"/>
  <c r="AE318"/>
  <c r="AE316"/>
  <c r="AE314"/>
  <c r="AE312"/>
  <c r="AE310"/>
  <c r="AE308"/>
  <c r="AE306"/>
  <c r="AE304"/>
  <c r="AE302"/>
  <c r="AE300"/>
  <c r="AE296"/>
  <c r="AE294"/>
  <c r="AE292"/>
  <c r="AE288"/>
  <c r="AE286"/>
  <c r="AE284"/>
  <c r="AE282"/>
  <c r="AD544"/>
  <c r="AD542"/>
  <c r="AD540"/>
  <c r="AD537"/>
  <c r="AD535"/>
  <c r="AD533"/>
  <c r="AD531"/>
  <c r="AD529"/>
  <c r="AD527"/>
  <c r="AD525"/>
  <c r="AD523"/>
  <c r="AD521"/>
  <c r="AD519"/>
  <c r="AD517"/>
  <c r="AD515"/>
  <c r="AD513"/>
  <c r="AD511"/>
  <c r="AD509"/>
  <c r="AD507"/>
  <c r="AD505"/>
  <c r="AD503"/>
  <c r="AD501"/>
  <c r="AD499"/>
  <c r="AD497"/>
  <c r="AD495"/>
  <c r="AD493"/>
  <c r="AD491"/>
  <c r="AD489"/>
  <c r="AD487"/>
  <c r="AD485"/>
  <c r="AD483"/>
  <c r="AD481"/>
  <c r="AD477"/>
  <c r="AD475"/>
  <c r="AD473"/>
  <c r="AD471"/>
  <c r="AD469"/>
  <c r="AD467"/>
  <c r="AD465"/>
  <c r="AD463"/>
  <c r="AD461"/>
  <c r="AD459"/>
  <c r="AD457"/>
  <c r="AD455"/>
  <c r="AD453"/>
  <c r="AD451"/>
  <c r="AD449"/>
  <c r="AD447"/>
  <c r="AD445"/>
  <c r="AD443"/>
  <c r="AD441"/>
  <c r="AD439"/>
  <c r="AD437"/>
  <c r="AD435"/>
  <c r="AD433"/>
  <c r="AD431"/>
  <c r="AD429"/>
  <c r="AD427"/>
  <c r="AD425"/>
  <c r="AD423"/>
  <c r="AD421"/>
  <c r="AD419"/>
  <c r="AD417"/>
  <c r="AD415"/>
  <c r="AD413"/>
  <c r="AD411"/>
  <c r="AD409"/>
  <c r="AD407"/>
  <c r="AD405"/>
  <c r="AD403"/>
  <c r="AD401"/>
  <c r="AD399"/>
  <c r="AD397"/>
  <c r="AD395"/>
  <c r="AD393"/>
  <c r="AD391"/>
  <c r="AD389"/>
  <c r="AD387"/>
  <c r="AD385"/>
  <c r="AD383"/>
  <c r="AD381"/>
  <c r="AD379"/>
  <c r="AD377"/>
  <c r="AD375"/>
  <c r="AD373"/>
  <c r="AD371"/>
  <c r="AD369"/>
  <c r="AD367"/>
  <c r="AD365"/>
  <c r="AD363"/>
  <c r="AD361"/>
  <c r="AD359"/>
  <c r="AD357"/>
  <c r="AD355"/>
  <c r="AD353"/>
  <c r="AD351"/>
  <c r="AD349"/>
  <c r="AD347"/>
  <c r="AD345"/>
  <c r="AD343"/>
  <c r="AD341"/>
  <c r="AD339"/>
  <c r="AD337"/>
  <c r="AD335"/>
  <c r="AD333"/>
  <c r="AD331"/>
  <c r="AD330"/>
  <c r="AD328"/>
  <c r="AD326"/>
  <c r="AD324"/>
  <c r="AD322"/>
  <c r="AD320"/>
  <c r="AD318"/>
  <c r="AD316"/>
  <c r="AD314"/>
  <c r="AD312"/>
  <c r="AD310"/>
  <c r="AD308"/>
  <c r="AD306"/>
  <c r="AD304"/>
  <c r="AD302"/>
  <c r="AD300"/>
  <c r="AD298"/>
  <c r="AD296"/>
  <c r="AD292"/>
  <c r="AD290"/>
  <c r="AD288"/>
  <c r="AD284"/>
  <c r="AD282"/>
  <c r="AC544"/>
  <c r="AC540"/>
  <c r="AC537"/>
  <c r="E535"/>
  <c r="AC533"/>
  <c r="E531"/>
  <c r="AC529"/>
  <c r="E527"/>
  <c r="AC525"/>
  <c r="AC523"/>
  <c r="AC521"/>
  <c r="E519"/>
  <c r="AC515"/>
  <c r="AC513"/>
  <c r="AC511"/>
  <c r="AC509"/>
  <c r="AC507"/>
  <c r="E503"/>
  <c r="AC499"/>
  <c r="AC497"/>
  <c r="E495"/>
  <c r="AC493"/>
  <c r="AC491"/>
  <c r="AC487"/>
  <c r="AC485"/>
  <c r="AC483"/>
  <c r="E479"/>
  <c r="AC477"/>
  <c r="AC473"/>
  <c r="AC471"/>
  <c r="E469"/>
  <c r="AC467"/>
  <c r="E465"/>
  <c r="AC461"/>
  <c r="AC459"/>
  <c r="AC457"/>
  <c r="AC455"/>
  <c r="AC453"/>
  <c r="E449"/>
  <c r="AC445"/>
  <c r="AC441"/>
  <c r="AC439"/>
  <c r="AC437"/>
  <c r="AC435"/>
  <c r="AC433"/>
  <c r="AC431"/>
  <c r="AC429"/>
  <c r="AC427"/>
  <c r="AC425"/>
  <c r="AC421"/>
  <c r="AC419"/>
  <c r="AC417"/>
  <c r="AC415"/>
  <c r="AC413"/>
  <c r="AC411"/>
  <c r="AC409"/>
  <c r="AC407"/>
  <c r="AC405"/>
  <c r="E401"/>
  <c r="AC397"/>
  <c r="AC395"/>
  <c r="AC393"/>
  <c r="AC391"/>
  <c r="AC389"/>
  <c r="AC387"/>
  <c r="E385"/>
  <c r="AC383"/>
  <c r="AC381"/>
  <c r="AC379"/>
  <c r="AC377"/>
  <c r="AC375"/>
  <c r="E373"/>
  <c r="AC369"/>
  <c r="AC367"/>
  <c r="AC365"/>
  <c r="AC363"/>
  <c r="AC361"/>
  <c r="AC359"/>
  <c r="AC357"/>
  <c r="AC355"/>
  <c r="AC353"/>
  <c r="AC351"/>
  <c r="AC349"/>
  <c r="AC347"/>
  <c r="AC345"/>
  <c r="AC343"/>
  <c r="AC341"/>
  <c r="AC339"/>
  <c r="AC337"/>
  <c r="AC335"/>
  <c r="AC333"/>
  <c r="AC331"/>
  <c r="AG295"/>
  <c r="AG293"/>
  <c r="AG291"/>
  <c r="AG289"/>
  <c r="AG287"/>
  <c r="AG285"/>
  <c r="AG283"/>
  <c r="AG281"/>
  <c r="AF543"/>
  <c r="AF541"/>
  <c r="AF538"/>
  <c r="AF536"/>
  <c r="AF534"/>
  <c r="AF532"/>
  <c r="AF530"/>
  <c r="AF528"/>
  <c r="AF526"/>
  <c r="AF524"/>
  <c r="AF522"/>
  <c r="AF520"/>
  <c r="AF518"/>
  <c r="AF516"/>
  <c r="AF514"/>
  <c r="AF512"/>
  <c r="AF510"/>
  <c r="AF508"/>
  <c r="AF506"/>
  <c r="AF504"/>
  <c r="AF502"/>
  <c r="AF500"/>
  <c r="AF498"/>
  <c r="AF496"/>
  <c r="AF494"/>
  <c r="AF492"/>
  <c r="AF490"/>
  <c r="AF488"/>
  <c r="AF486"/>
  <c r="AF484"/>
  <c r="AF482"/>
  <c r="AF480"/>
  <c r="AF478"/>
  <c r="AF476"/>
  <c r="AF474"/>
  <c r="AF472"/>
  <c r="AF470"/>
  <c r="AF468"/>
  <c r="AF466"/>
  <c r="AF464"/>
  <c r="AF462"/>
  <c r="AF460"/>
  <c r="AF458"/>
  <c r="AF456"/>
  <c r="AF454"/>
  <c r="AF452"/>
  <c r="AF450"/>
  <c r="AF448"/>
  <c r="AF446"/>
  <c r="AF444"/>
  <c r="AF442"/>
  <c r="AF440"/>
  <c r="AF438"/>
  <c r="AF436"/>
  <c r="AF434"/>
  <c r="AF432"/>
  <c r="AF430"/>
  <c r="AF428"/>
  <c r="AF426"/>
  <c r="AF424"/>
  <c r="AF422"/>
  <c r="AF420"/>
  <c r="AF418"/>
  <c r="AF416"/>
  <c r="AF414"/>
  <c r="AF412"/>
  <c r="AF410"/>
  <c r="AF408"/>
  <c r="AF406"/>
  <c r="AF404"/>
  <c r="AF402"/>
  <c r="AF400"/>
  <c r="AF398"/>
  <c r="AF396"/>
  <c r="AF394"/>
  <c r="AF392"/>
  <c r="AF390"/>
  <c r="AF388"/>
  <c r="AF386"/>
  <c r="AF384"/>
  <c r="AF382"/>
  <c r="AF380"/>
  <c r="AF378"/>
  <c r="AF376"/>
  <c r="AF374"/>
  <c r="AF372"/>
  <c r="AF370"/>
  <c r="AF368"/>
  <c r="AF366"/>
  <c r="AF364"/>
  <c r="AF362"/>
  <c r="AF360"/>
  <c r="AF358"/>
  <c r="AF356"/>
  <c r="AF354"/>
  <c r="AF352"/>
  <c r="AF350"/>
  <c r="AF348"/>
  <c r="AF346"/>
  <c r="AF342"/>
  <c r="AF340"/>
  <c r="AF338"/>
  <c r="AF336"/>
  <c r="AF334"/>
  <c r="AF332"/>
  <c r="AF329"/>
  <c r="AF327"/>
  <c r="AF325"/>
  <c r="AF323"/>
  <c r="AF321"/>
  <c r="AF319"/>
  <c r="AF317"/>
  <c r="AF315"/>
  <c r="AF313"/>
  <c r="AF311"/>
  <c r="AF309"/>
  <c r="AF307"/>
  <c r="AF305"/>
  <c r="AF303"/>
  <c r="AF301"/>
  <c r="AF299"/>
  <c r="AF295"/>
  <c r="AF291"/>
  <c r="AF287"/>
  <c r="AF283"/>
  <c r="AF281"/>
  <c r="AE543"/>
  <c r="AE541"/>
  <c r="AE538"/>
  <c r="AE536"/>
  <c r="AE534"/>
  <c r="AE532"/>
  <c r="AE530"/>
  <c r="AE528"/>
  <c r="AE526"/>
  <c r="AE524"/>
  <c r="AE520"/>
  <c r="AE516"/>
  <c r="AE512"/>
  <c r="AE508"/>
  <c r="AE504"/>
  <c r="AE500"/>
  <c r="AE496"/>
  <c r="AE492"/>
  <c r="AE488"/>
  <c r="AE484"/>
  <c r="AE480"/>
  <c r="AE478"/>
  <c r="AE476"/>
  <c r="AE474"/>
  <c r="AE472"/>
  <c r="AE470"/>
  <c r="AE468"/>
  <c r="AE466"/>
  <c r="AE464"/>
  <c r="AE462"/>
  <c r="AE460"/>
  <c r="AE458"/>
  <c r="AE456"/>
  <c r="AE454"/>
  <c r="AE452"/>
  <c r="AE450"/>
  <c r="AE448"/>
  <c r="AE446"/>
  <c r="AE444"/>
  <c r="AE442"/>
  <c r="AE440"/>
  <c r="AE438"/>
  <c r="AE436"/>
  <c r="AE434"/>
  <c r="AE432"/>
  <c r="AE430"/>
  <c r="AE428"/>
  <c r="AE426"/>
  <c r="AE424"/>
  <c r="AE422"/>
  <c r="AE420"/>
  <c r="AE418"/>
  <c r="AE416"/>
  <c r="AE414"/>
  <c r="AE412"/>
  <c r="AE410"/>
  <c r="AE408"/>
  <c r="AE406"/>
  <c r="AE404"/>
  <c r="AE402"/>
  <c r="AE400"/>
  <c r="AE398"/>
  <c r="AE396"/>
  <c r="AE394"/>
  <c r="AE392"/>
  <c r="AE390"/>
  <c r="AE388"/>
  <c r="AE386"/>
  <c r="AE384"/>
  <c r="AE382"/>
  <c r="AE380"/>
  <c r="AE378"/>
  <c r="AE376"/>
  <c r="AE374"/>
  <c r="AE372"/>
  <c r="AE370"/>
  <c r="AE368"/>
  <c r="AE366"/>
  <c r="AE364"/>
  <c r="AE362"/>
  <c r="AE360"/>
  <c r="AE358"/>
  <c r="AE356"/>
  <c r="AE354"/>
  <c r="AE352"/>
  <c r="AE350"/>
  <c r="AE348"/>
  <c r="AE346"/>
  <c r="AE344"/>
  <c r="AE342"/>
  <c r="AE340"/>
  <c r="AE338"/>
  <c r="AE336"/>
  <c r="AE334"/>
  <c r="AE332"/>
  <c r="AE329"/>
  <c r="AE327"/>
  <c r="AE325"/>
  <c r="AE323"/>
  <c r="AE321"/>
  <c r="AE319"/>
  <c r="AE317"/>
  <c r="AE315"/>
  <c r="AE313"/>
  <c r="AE311"/>
  <c r="AE309"/>
  <c r="AE307"/>
  <c r="AE305"/>
  <c r="AE303"/>
  <c r="AE301"/>
  <c r="AE299"/>
  <c r="AE297"/>
  <c r="AE295"/>
  <c r="AE293"/>
  <c r="AE291"/>
  <c r="AE289"/>
  <c r="AE287"/>
  <c r="AE285"/>
  <c r="AE283"/>
  <c r="AD543"/>
  <c r="AD541"/>
  <c r="AD538"/>
  <c r="AD536"/>
  <c r="AD534"/>
  <c r="AD532"/>
  <c r="AD530"/>
  <c r="AD528"/>
  <c r="AD526"/>
  <c r="AD524"/>
  <c r="AD522"/>
  <c r="AD520"/>
  <c r="AD518"/>
  <c r="AD516"/>
  <c r="AD514"/>
  <c r="AD512"/>
  <c r="AD510"/>
  <c r="AD508"/>
  <c r="AD506"/>
  <c r="AD504"/>
  <c r="AD502"/>
  <c r="AD500"/>
  <c r="AD498"/>
  <c r="AD496"/>
  <c r="AD494"/>
  <c r="AD492"/>
  <c r="AD490"/>
  <c r="AD488"/>
  <c r="AD486"/>
  <c r="AD484"/>
  <c r="AD482"/>
  <c r="AD480"/>
  <c r="AD474"/>
  <c r="AD472"/>
  <c r="AD470"/>
  <c r="AD468"/>
  <c r="AD466"/>
  <c r="AD464"/>
  <c r="AD462"/>
  <c r="AD460"/>
  <c r="AD458"/>
  <c r="AD456"/>
  <c r="AD454"/>
  <c r="AD452"/>
  <c r="AD450"/>
  <c r="AD448"/>
  <c r="AD446"/>
  <c r="AD444"/>
  <c r="AD442"/>
  <c r="AD440"/>
  <c r="AD438"/>
  <c r="AD436"/>
  <c r="AD434"/>
  <c r="AD432"/>
  <c r="AD430"/>
  <c r="AD428"/>
  <c r="AD426"/>
  <c r="AD424"/>
  <c r="AD422"/>
  <c r="AD420"/>
  <c r="AD418"/>
  <c r="AD416"/>
  <c r="AD414"/>
  <c r="AD412"/>
  <c r="AD410"/>
  <c r="AD408"/>
  <c r="AD406"/>
  <c r="AD404"/>
  <c r="AD402"/>
  <c r="AD400"/>
  <c r="AD398"/>
  <c r="AD396"/>
  <c r="AD394"/>
  <c r="AD392"/>
  <c r="AD390"/>
  <c r="AD388"/>
  <c r="AD386"/>
  <c r="AD384"/>
  <c r="AD382"/>
  <c r="AD380"/>
  <c r="AD378"/>
  <c r="AD376"/>
  <c r="AD374"/>
  <c r="AD372"/>
  <c r="AD370"/>
  <c r="AD368"/>
  <c r="AD366"/>
  <c r="AD364"/>
  <c r="AD362"/>
  <c r="AD360"/>
  <c r="AD358"/>
  <c r="AD356"/>
  <c r="AD354"/>
  <c r="AD352"/>
  <c r="AD350"/>
  <c r="AD348"/>
  <c r="AD346"/>
  <c r="AD342"/>
  <c r="AD340"/>
  <c r="AD338"/>
  <c r="AD336"/>
  <c r="AD334"/>
  <c r="AD332"/>
  <c r="AD329"/>
  <c r="AD327"/>
  <c r="AD325"/>
  <c r="AD323"/>
  <c r="AD321"/>
  <c r="AD319"/>
  <c r="AD317"/>
  <c r="AD315"/>
  <c r="AD313"/>
  <c r="AD311"/>
  <c r="AD307"/>
  <c r="AD303"/>
  <c r="AD301"/>
  <c r="AD299"/>
  <c r="AD297"/>
  <c r="AD295"/>
  <c r="AD293"/>
  <c r="AD291"/>
  <c r="AD289"/>
  <c r="AD287"/>
  <c r="AD285"/>
  <c r="AD283"/>
  <c r="AD281"/>
  <c r="AC543"/>
  <c r="AC536"/>
  <c r="AC530"/>
  <c r="AC528"/>
  <c r="AC526"/>
  <c r="AC524"/>
  <c r="AC522"/>
  <c r="AC514"/>
  <c r="AC512"/>
  <c r="AC510"/>
  <c r="AC506"/>
  <c r="AC502"/>
  <c r="AC498"/>
  <c r="AC496"/>
  <c r="AC492"/>
  <c r="AC490"/>
  <c r="AC488"/>
  <c r="AC486"/>
  <c r="AC484"/>
  <c r="AC480"/>
  <c r="AC476"/>
  <c r="AC474"/>
  <c r="E472"/>
  <c r="AC470"/>
  <c r="AC468"/>
  <c r="E464"/>
  <c r="AC460"/>
  <c r="AC458"/>
  <c r="AC456"/>
  <c r="AC454"/>
  <c r="AC452"/>
  <c r="AC450"/>
  <c r="E448"/>
  <c r="AC444"/>
  <c r="AC442"/>
  <c r="AC440"/>
  <c r="AC438"/>
  <c r="AC436"/>
  <c r="AC432"/>
  <c r="AC430"/>
  <c r="AC428"/>
  <c r="AC426"/>
  <c r="AC424"/>
  <c r="AC422"/>
  <c r="AC420"/>
  <c r="AC418"/>
  <c r="AC416"/>
  <c r="AC414"/>
  <c r="AC412"/>
  <c r="AC410"/>
  <c r="AC408"/>
  <c r="AC406"/>
  <c r="AC404"/>
  <c r="AC402"/>
  <c r="E400"/>
  <c r="AC396"/>
  <c r="AC394"/>
  <c r="AC392"/>
  <c r="AC390"/>
  <c r="AC388"/>
  <c r="AC384"/>
  <c r="AC382"/>
  <c r="E380"/>
  <c r="AC378"/>
  <c r="AC376"/>
  <c r="E372"/>
  <c r="AC370"/>
  <c r="AC368"/>
  <c r="AC366"/>
  <c r="AC364"/>
  <c r="AC362"/>
  <c r="E360"/>
  <c r="AC358"/>
  <c r="AC356"/>
  <c r="AC352"/>
  <c r="AC346"/>
  <c r="AC342"/>
  <c r="AC338"/>
  <c r="AC334"/>
  <c r="AC328"/>
  <c r="AC326"/>
  <c r="AC324"/>
  <c r="AC322"/>
  <c r="AC320"/>
  <c r="AC318"/>
  <c r="AC316"/>
  <c r="AC314"/>
  <c r="AC312"/>
  <c r="AC308"/>
  <c r="AC302"/>
  <c r="AC298"/>
  <c r="E294"/>
  <c r="AC290"/>
  <c r="AC286"/>
  <c r="AC282"/>
  <c r="AC336"/>
  <c r="AC332"/>
  <c r="AC329"/>
  <c r="AC327"/>
  <c r="AC325"/>
  <c r="AC323"/>
  <c r="AC321"/>
  <c r="AC319"/>
  <c r="AC317"/>
  <c r="AC315"/>
  <c r="AC313"/>
  <c r="AC309"/>
  <c r="E305"/>
  <c r="AC303"/>
  <c r="AC301"/>
  <c r="AC299"/>
  <c r="AC297"/>
  <c r="AC295"/>
  <c r="AC293"/>
  <c r="AC291"/>
  <c r="AC289"/>
  <c r="AC285"/>
  <c r="AC283"/>
  <c r="AC281"/>
  <c r="E304"/>
  <c r="AC300"/>
  <c r="AC296"/>
  <c r="AC292"/>
  <c r="AC288"/>
  <c r="AC284"/>
  <c r="F18" i="300"/>
  <c r="AF344" i="92"/>
  <c r="AE544"/>
  <c r="AB544"/>
  <c r="AB543"/>
  <c r="AB542"/>
  <c r="AB541"/>
  <c r="AE540"/>
  <c r="AB540"/>
  <c r="AB538"/>
  <c r="AB537"/>
  <c r="AB536"/>
  <c r="AE535"/>
  <c r="AB535"/>
  <c r="AB534"/>
  <c r="AB533"/>
  <c r="AB532"/>
  <c r="AE531"/>
  <c r="AB531"/>
  <c r="AB530"/>
  <c r="AB529"/>
  <c r="AB528"/>
  <c r="AE527"/>
  <c r="AB527"/>
  <c r="AB526"/>
  <c r="AB525"/>
  <c r="AB524"/>
  <c r="AE523"/>
  <c r="AB523"/>
  <c r="AE522"/>
  <c r="AB522"/>
  <c r="AB521"/>
  <c r="AB520"/>
  <c r="AE519"/>
  <c r="AB519"/>
  <c r="AE518"/>
  <c r="AB518"/>
  <c r="AB517"/>
  <c r="AB516"/>
  <c r="AE515"/>
  <c r="AB515"/>
  <c r="AE514"/>
  <c r="AB514"/>
  <c r="AB513"/>
  <c r="AB512"/>
  <c r="AE511"/>
  <c r="AB511"/>
  <c r="AE510"/>
  <c r="AB510"/>
  <c r="AB509"/>
  <c r="AB508"/>
  <c r="AE507"/>
  <c r="AB507"/>
  <c r="AE506"/>
  <c r="AB506"/>
  <c r="AB505"/>
  <c r="AB504"/>
  <c r="AE503"/>
  <c r="AB503"/>
  <c r="AE502"/>
  <c r="AB502"/>
  <c r="AB501"/>
  <c r="AB500"/>
  <c r="AE499"/>
  <c r="AB499"/>
  <c r="AE498"/>
  <c r="AB498"/>
  <c r="AB497"/>
  <c r="AB496"/>
  <c r="AE495"/>
  <c r="AB495"/>
  <c r="AE494"/>
  <c r="AB494"/>
  <c r="AB493"/>
  <c r="AB492"/>
  <c r="AE491"/>
  <c r="AB491"/>
  <c r="AE490"/>
  <c r="AB490"/>
  <c r="AB489"/>
  <c r="AB488"/>
  <c r="AE487"/>
  <c r="AB487"/>
  <c r="AE486"/>
  <c r="AB486"/>
  <c r="AB485"/>
  <c r="AB484"/>
  <c r="AE483"/>
  <c r="AB483"/>
  <c r="AE482"/>
  <c r="AB482"/>
  <c r="AB481"/>
  <c r="AB480"/>
  <c r="AE479"/>
  <c r="AB479"/>
  <c r="AG478"/>
  <c r="AG477"/>
  <c r="AB477"/>
  <c r="AB476"/>
  <c r="AB475"/>
  <c r="AB474"/>
  <c r="AB473"/>
  <c r="AB472"/>
  <c r="AB471"/>
  <c r="AB470"/>
  <c r="AB469"/>
  <c r="AB468"/>
  <c r="AB467"/>
  <c r="AB466"/>
  <c r="AB465"/>
  <c r="AB464"/>
  <c r="AB463"/>
  <c r="AB462"/>
  <c r="AB461"/>
  <c r="AB460"/>
  <c r="AB459"/>
  <c r="AB458"/>
  <c r="AB457"/>
  <c r="AB456"/>
  <c r="AB455"/>
  <c r="AB454"/>
  <c r="AB453"/>
  <c r="AB452"/>
  <c r="AB451"/>
  <c r="AB450"/>
  <c r="AB449"/>
  <c r="AB448"/>
  <c r="AB447"/>
  <c r="AB446"/>
  <c r="AB445"/>
  <c r="AB444"/>
  <c r="AB443"/>
  <c r="AB442"/>
  <c r="AB441"/>
  <c r="AB440"/>
  <c r="AB439"/>
  <c r="AB438"/>
  <c r="AB437"/>
  <c r="AB436"/>
  <c r="AB435"/>
  <c r="AB434"/>
  <c r="AB433"/>
  <c r="AB432"/>
  <c r="AB431"/>
  <c r="AB430"/>
  <c r="AB429"/>
  <c r="AB428"/>
  <c r="AB427"/>
  <c r="AB426"/>
  <c r="AB425"/>
  <c r="AB424"/>
  <c r="AB423"/>
  <c r="AB422"/>
  <c r="AB421"/>
  <c r="AB420"/>
  <c r="AB419"/>
  <c r="AB418"/>
  <c r="AB417"/>
  <c r="AB416"/>
  <c r="AB415"/>
  <c r="AB414"/>
  <c r="AB413"/>
  <c r="AB412"/>
  <c r="AB411"/>
  <c r="AB410"/>
  <c r="AB409"/>
  <c r="AB408"/>
  <c r="AB407"/>
  <c r="AB406"/>
  <c r="AB405"/>
  <c r="AB404"/>
  <c r="AB403"/>
  <c r="AB402"/>
  <c r="AB401"/>
  <c r="AB400"/>
  <c r="AB399"/>
  <c r="AB398"/>
  <c r="AB397"/>
  <c r="AB396"/>
  <c r="AB395"/>
  <c r="AB394"/>
  <c r="AB393"/>
  <c r="AB392"/>
  <c r="AB391"/>
  <c r="AB390"/>
  <c r="AB389"/>
  <c r="AB388"/>
  <c r="AB387"/>
  <c r="AB386"/>
  <c r="AB385"/>
  <c r="AB384"/>
  <c r="AB383"/>
  <c r="AB382"/>
  <c r="AB381"/>
  <c r="AB380"/>
  <c r="AB379"/>
  <c r="AB378"/>
  <c r="AB377"/>
  <c r="AB376"/>
  <c r="AB375"/>
  <c r="AB374"/>
  <c r="AB373"/>
  <c r="AB372"/>
  <c r="AB371"/>
  <c r="AB370"/>
  <c r="AB369"/>
  <c r="AB368"/>
  <c r="AB367"/>
  <c r="AB366"/>
  <c r="AB365"/>
  <c r="AB364"/>
  <c r="AB363"/>
  <c r="AB362"/>
  <c r="AB361"/>
  <c r="AB360"/>
  <c r="AB359"/>
  <c r="AB358"/>
  <c r="AB357"/>
  <c r="AB356"/>
  <c r="AB355"/>
  <c r="AB354"/>
  <c r="AB353"/>
  <c r="AB352"/>
  <c r="AB351"/>
  <c r="AB350"/>
  <c r="AB349"/>
  <c r="AB348"/>
  <c r="AB347"/>
  <c r="AB346"/>
  <c r="AB345"/>
  <c r="AB343"/>
  <c r="AB342"/>
  <c r="AB341"/>
  <c r="AB340"/>
  <c r="AB339"/>
  <c r="AB338"/>
  <c r="AB337"/>
  <c r="AB336"/>
  <c r="AB335"/>
  <c r="AB334"/>
  <c r="AB333"/>
  <c r="AB332"/>
  <c r="AB331"/>
  <c r="AB330"/>
  <c r="AB329"/>
  <c r="AB328"/>
  <c r="AB327"/>
  <c r="AB326"/>
  <c r="AB325"/>
  <c r="AB324"/>
  <c r="AB323"/>
  <c r="AB322"/>
  <c r="AB321"/>
  <c r="AB320"/>
  <c r="AB319"/>
  <c r="AB318"/>
  <c r="AB317"/>
  <c r="AB316"/>
  <c r="AB315"/>
  <c r="AB314"/>
  <c r="AB313"/>
  <c r="AB312"/>
  <c r="AB311"/>
  <c r="AG310"/>
  <c r="AB310"/>
  <c r="AD309"/>
  <c r="AB309"/>
  <c r="AB308"/>
  <c r="AB307"/>
  <c r="AG306"/>
  <c r="AB306"/>
  <c r="AD305"/>
  <c r="AB305"/>
  <c r="AB304"/>
  <c r="AB303"/>
  <c r="AG302"/>
  <c r="AB302"/>
  <c r="AB301"/>
  <c r="AB300"/>
  <c r="AB299"/>
  <c r="AE298"/>
  <c r="AB298"/>
  <c r="AF297"/>
  <c r="AB297"/>
  <c r="AB296"/>
  <c r="AB295"/>
  <c r="AD294"/>
  <c r="AB294"/>
  <c r="AF293"/>
  <c r="AB293"/>
  <c r="AB292"/>
  <c r="AB291"/>
  <c r="AE290"/>
  <c r="AB290"/>
  <c r="AF289"/>
  <c r="AB289"/>
  <c r="AB288"/>
  <c r="AB287"/>
  <c r="AD286"/>
  <c r="AB286"/>
  <c r="AF285"/>
  <c r="AB285"/>
  <c r="AB284"/>
  <c r="AB283"/>
  <c r="AF282"/>
  <c r="AB282"/>
  <c r="AE281"/>
  <c r="AB281"/>
  <c r="AG278"/>
  <c r="AF278"/>
  <c r="AE278"/>
  <c r="AD278"/>
  <c r="AC278"/>
  <c r="AB278"/>
  <c r="AG277"/>
  <c r="AF277"/>
  <c r="AE277"/>
  <c r="AD277"/>
  <c r="AC277"/>
  <c r="AB277"/>
  <c r="AG276"/>
  <c r="AF276"/>
  <c r="AE276"/>
  <c r="AD276"/>
  <c r="AC276"/>
  <c r="AB276"/>
  <c r="AG275"/>
  <c r="AF275"/>
  <c r="AE275"/>
  <c r="AD275"/>
  <c r="AC275"/>
  <c r="AB275"/>
  <c r="AG274"/>
  <c r="AF274"/>
  <c r="AE274"/>
  <c r="AD274"/>
  <c r="AC274"/>
  <c r="AB274"/>
  <c r="AG272"/>
  <c r="AF272"/>
  <c r="AE272"/>
  <c r="AD272"/>
  <c r="AC272"/>
  <c r="AB272"/>
  <c r="AG271"/>
  <c r="AF271"/>
  <c r="AE271"/>
  <c r="AD271"/>
  <c r="AC271"/>
  <c r="AB271"/>
  <c r="AG270"/>
  <c r="AF270"/>
  <c r="AE270"/>
  <c r="AD270"/>
  <c r="AC270"/>
  <c r="AB270"/>
  <c r="AG269"/>
  <c r="AF269"/>
  <c r="AE269"/>
  <c r="AD269"/>
  <c r="AC269"/>
  <c r="AB269"/>
  <c r="AG268"/>
  <c r="AF268"/>
  <c r="AE268"/>
  <c r="AD268"/>
  <c r="AC268"/>
  <c r="AB268"/>
  <c r="AG267"/>
  <c r="AF267"/>
  <c r="AE267"/>
  <c r="AD267"/>
  <c r="AC267"/>
  <c r="AB267"/>
  <c r="AG266"/>
  <c r="AF266"/>
  <c r="AE266"/>
  <c r="AD266"/>
  <c r="AC266"/>
  <c r="AB266"/>
  <c r="AG265"/>
  <c r="AF265"/>
  <c r="AE265"/>
  <c r="AD265"/>
  <c r="AC265"/>
  <c r="AB265"/>
  <c r="AG264"/>
  <c r="AF264"/>
  <c r="AE264"/>
  <c r="AD264"/>
  <c r="AC264"/>
  <c r="AB264"/>
  <c r="AG263"/>
  <c r="AF263"/>
  <c r="AE263"/>
  <c r="AD263"/>
  <c r="AC263"/>
  <c r="AB263"/>
  <c r="AG262"/>
  <c r="AF262"/>
  <c r="AE262"/>
  <c r="AD262"/>
  <c r="AC262"/>
  <c r="AB262"/>
  <c r="AG261"/>
  <c r="AF261"/>
  <c r="AE261"/>
  <c r="AD261"/>
  <c r="AC261"/>
  <c r="AB261"/>
  <c r="AG260"/>
  <c r="AF260"/>
  <c r="AE260"/>
  <c r="AD260"/>
  <c r="AC260"/>
  <c r="AB260"/>
  <c r="AG259"/>
  <c r="AF259"/>
  <c r="AE259"/>
  <c r="AD259"/>
  <c r="AC259"/>
  <c r="AB259"/>
  <c r="AG258"/>
  <c r="AF258"/>
  <c r="AE258"/>
  <c r="AD258"/>
  <c r="AC258"/>
  <c r="AB258"/>
  <c r="AG257"/>
  <c r="AF257"/>
  <c r="AE257"/>
  <c r="AD257"/>
  <c r="AC257"/>
  <c r="AB257"/>
  <c r="AG256"/>
  <c r="AF256"/>
  <c r="AE256"/>
  <c r="AD256"/>
  <c r="AC256"/>
  <c r="AB256"/>
  <c r="AG255"/>
  <c r="AF255"/>
  <c r="AE255"/>
  <c r="AD255"/>
  <c r="AC255"/>
  <c r="AB255"/>
  <c r="AG254"/>
  <c r="AF254"/>
  <c r="AE254"/>
  <c r="AD254"/>
  <c r="AC254"/>
  <c r="AB254"/>
  <c r="AG253"/>
  <c r="AF253"/>
  <c r="AE253"/>
  <c r="AD253"/>
  <c r="AC253"/>
  <c r="AB253"/>
  <c r="AG252"/>
  <c r="AF252"/>
  <c r="AE252"/>
  <c r="AD252"/>
  <c r="AC252"/>
  <c r="AB252"/>
  <c r="AG251"/>
  <c r="AF251"/>
  <c r="AE251"/>
  <c r="AD251"/>
  <c r="AC251"/>
  <c r="AB251"/>
  <c r="AG250"/>
  <c r="AF250"/>
  <c r="AE250"/>
  <c r="AD250"/>
  <c r="AC250"/>
  <c r="AB250"/>
  <c r="AG249"/>
  <c r="AF249"/>
  <c r="AE249"/>
  <c r="AD249"/>
  <c r="AC249"/>
  <c r="AB249"/>
  <c r="AG248"/>
  <c r="AF248"/>
  <c r="AE248"/>
  <c r="AD248"/>
  <c r="AC248"/>
  <c r="AB248"/>
  <c r="AG247"/>
  <c r="AF247"/>
  <c r="AE247"/>
  <c r="AD247"/>
  <c r="AC247"/>
  <c r="AB247"/>
  <c r="AG246"/>
  <c r="AF246"/>
  <c r="AE246"/>
  <c r="AD246"/>
  <c r="AC246"/>
  <c r="AB246"/>
  <c r="AG245"/>
  <c r="AF245"/>
  <c r="AE245"/>
  <c r="AD245"/>
  <c r="AC245"/>
  <c r="AB245"/>
  <c r="AG244"/>
  <c r="AF244"/>
  <c r="AE244"/>
  <c r="AD244"/>
  <c r="AC244"/>
  <c r="AB244"/>
  <c r="AG243"/>
  <c r="AF243"/>
  <c r="AE243"/>
  <c r="AD243"/>
  <c r="AC243"/>
  <c r="AB243"/>
  <c r="AG242"/>
  <c r="AF242"/>
  <c r="AE242"/>
  <c r="AD242"/>
  <c r="AC242"/>
  <c r="AB242"/>
  <c r="AG241"/>
  <c r="AF241"/>
  <c r="AE241"/>
  <c r="AD241"/>
  <c r="AC241"/>
  <c r="AB241"/>
  <c r="AG240"/>
  <c r="AF240"/>
  <c r="AE240"/>
  <c r="AD240"/>
  <c r="AC240"/>
  <c r="AB240"/>
  <c r="AG239"/>
  <c r="AF239"/>
  <c r="AE239"/>
  <c r="AD239"/>
  <c r="AC239"/>
  <c r="AB239"/>
  <c r="AG238"/>
  <c r="AF238"/>
  <c r="AE238"/>
  <c r="AD238"/>
  <c r="AC238"/>
  <c r="AB238"/>
  <c r="AG237"/>
  <c r="AF237"/>
  <c r="AE237"/>
  <c r="AD237"/>
  <c r="AC237"/>
  <c r="AB237"/>
  <c r="AG236"/>
  <c r="AF236"/>
  <c r="AE236"/>
  <c r="AD236"/>
  <c r="AC236"/>
  <c r="AB236"/>
  <c r="AG235"/>
  <c r="AF235"/>
  <c r="AE235"/>
  <c r="AD235"/>
  <c r="AC235"/>
  <c r="AB235"/>
  <c r="AG234"/>
  <c r="AF234"/>
  <c r="AE234"/>
  <c r="AD234"/>
  <c r="AC234"/>
  <c r="AB234"/>
  <c r="AG233"/>
  <c r="AF233"/>
  <c r="AE233"/>
  <c r="AD233"/>
  <c r="AC233"/>
  <c r="AB233"/>
  <c r="AG232"/>
  <c r="AF232"/>
  <c r="AE232"/>
  <c r="AD232"/>
  <c r="AC232"/>
  <c r="AB232"/>
  <c r="AG231"/>
  <c r="AF231"/>
  <c r="AE231"/>
  <c r="AD231"/>
  <c r="AC231"/>
  <c r="AB231"/>
  <c r="AG230"/>
  <c r="AF230"/>
  <c r="AE230"/>
  <c r="AD230"/>
  <c r="AC230"/>
  <c r="AB230"/>
  <c r="AG229"/>
  <c r="AF229"/>
  <c r="AE229"/>
  <c r="AD229"/>
  <c r="AC229"/>
  <c r="AB229"/>
  <c r="AG228"/>
  <c r="AF228"/>
  <c r="AE228"/>
  <c r="AD228"/>
  <c r="AC228"/>
  <c r="AB228"/>
  <c r="AG227"/>
  <c r="AF227"/>
  <c r="AE227"/>
  <c r="AD227"/>
  <c r="AC227"/>
  <c r="AB227"/>
  <c r="AG226"/>
  <c r="AF226"/>
  <c r="AE226"/>
  <c r="AD226"/>
  <c r="AC226"/>
  <c r="AB226"/>
  <c r="AG225"/>
  <c r="AF225"/>
  <c r="AE225"/>
  <c r="AD225"/>
  <c r="AC225"/>
  <c r="AB225"/>
  <c r="AG224"/>
  <c r="AF224"/>
  <c r="AE224"/>
  <c r="AD224"/>
  <c r="AC224"/>
  <c r="AB224"/>
  <c r="AG223"/>
  <c r="AF223"/>
  <c r="AE223"/>
  <c r="AD223"/>
  <c r="AC223"/>
  <c r="AB223"/>
  <c r="AG222"/>
  <c r="AF222"/>
  <c r="AE222"/>
  <c r="AD222"/>
  <c r="AC222"/>
  <c r="AB222"/>
  <c r="AG221"/>
  <c r="AF221"/>
  <c r="AE221"/>
  <c r="AD221"/>
  <c r="AC221"/>
  <c r="AB221"/>
  <c r="AG220"/>
  <c r="AF220"/>
  <c r="AE220"/>
  <c r="AD220"/>
  <c r="AC220"/>
  <c r="AB220"/>
  <c r="AG219"/>
  <c r="AF219"/>
  <c r="AE219"/>
  <c r="AD219"/>
  <c r="AC219"/>
  <c r="AB219"/>
  <c r="AG218"/>
  <c r="AF218"/>
  <c r="AE218"/>
  <c r="AD218"/>
  <c r="AC218"/>
  <c r="AB218"/>
  <c r="AG217"/>
  <c r="AF217"/>
  <c r="AE217"/>
  <c r="AD217"/>
  <c r="AC217"/>
  <c r="AB217"/>
  <c r="AG216"/>
  <c r="AF216"/>
  <c r="AE216"/>
  <c r="AD216"/>
  <c r="AC216"/>
  <c r="AB216"/>
  <c r="AG215"/>
  <c r="AF215"/>
  <c r="AE215"/>
  <c r="AD215"/>
  <c r="AC215"/>
  <c r="AB215"/>
  <c r="AG214"/>
  <c r="AF214"/>
  <c r="AE214"/>
  <c r="AD214"/>
  <c r="AC214"/>
  <c r="AB214"/>
  <c r="AG213"/>
  <c r="AF213"/>
  <c r="AE213"/>
  <c r="AD213"/>
  <c r="AC213"/>
  <c r="AB213"/>
  <c r="AG212"/>
  <c r="AF212"/>
  <c r="AE212"/>
  <c r="AD212"/>
  <c r="AC212"/>
  <c r="AB212"/>
  <c r="AG211"/>
  <c r="AF211"/>
  <c r="AE211"/>
  <c r="AD211"/>
  <c r="AC211"/>
  <c r="AB211"/>
  <c r="AG210"/>
  <c r="AF210"/>
  <c r="AE210"/>
  <c r="AD210"/>
  <c r="AC210"/>
  <c r="AB210"/>
  <c r="AG209"/>
  <c r="AF209"/>
  <c r="AE209"/>
  <c r="AD209"/>
  <c r="AC209"/>
  <c r="AB209"/>
  <c r="AG208"/>
  <c r="AF208"/>
  <c r="AE208"/>
  <c r="AD208"/>
  <c r="AC208"/>
  <c r="AB208"/>
  <c r="AG207"/>
  <c r="AF207"/>
  <c r="AE207"/>
  <c r="AD207"/>
  <c r="AC207"/>
  <c r="AB207"/>
  <c r="AG206"/>
  <c r="AF206"/>
  <c r="AE206"/>
  <c r="AD206"/>
  <c r="AC206"/>
  <c r="AB206"/>
  <c r="AG205"/>
  <c r="AF205"/>
  <c r="AE205"/>
  <c r="AD205"/>
  <c r="AC205"/>
  <c r="AB205"/>
  <c r="AG204"/>
  <c r="AF204"/>
  <c r="AE204"/>
  <c r="AD204"/>
  <c r="AC204"/>
  <c r="AB204"/>
  <c r="AG203"/>
  <c r="AF203"/>
  <c r="AE203"/>
  <c r="AD203"/>
  <c r="AC203"/>
  <c r="AB203"/>
  <c r="AG202"/>
  <c r="AF202"/>
  <c r="AE202"/>
  <c r="AD202"/>
  <c r="AC202"/>
  <c r="AB202"/>
  <c r="AG201"/>
  <c r="AF201"/>
  <c r="AE201"/>
  <c r="AD201"/>
  <c r="AC201"/>
  <c r="AB201"/>
  <c r="AG200"/>
  <c r="AF200"/>
  <c r="AE200"/>
  <c r="AD200"/>
  <c r="AC200"/>
  <c r="AB200"/>
  <c r="AG199"/>
  <c r="AF199"/>
  <c r="AE199"/>
  <c r="AD199"/>
  <c r="AC199"/>
  <c r="AB199"/>
  <c r="AG198"/>
  <c r="AF198"/>
  <c r="AE198"/>
  <c r="AD198"/>
  <c r="AC198"/>
  <c r="AB198"/>
  <c r="AG197"/>
  <c r="AF197"/>
  <c r="AE197"/>
  <c r="AD197"/>
  <c r="AC197"/>
  <c r="AB197"/>
  <c r="AG196"/>
  <c r="AF196"/>
  <c r="AE196"/>
  <c r="AD196"/>
  <c r="AC196"/>
  <c r="AB196"/>
  <c r="AG195"/>
  <c r="AF195"/>
  <c r="AE195"/>
  <c r="AD195"/>
  <c r="AC195"/>
  <c r="AB195"/>
  <c r="AG194"/>
  <c r="AF194"/>
  <c r="AE194"/>
  <c r="AD194"/>
  <c r="AC194"/>
  <c r="AB194"/>
  <c r="AG193"/>
  <c r="AF193"/>
  <c r="AE193"/>
  <c r="AD193"/>
  <c r="AC193"/>
  <c r="AB193"/>
  <c r="AG192"/>
  <c r="AF192"/>
  <c r="AE192"/>
  <c r="AD192"/>
  <c r="AC192"/>
  <c r="AB192"/>
  <c r="AG191"/>
  <c r="AF191"/>
  <c r="AE191"/>
  <c r="AD191"/>
  <c r="AC191"/>
  <c r="AB191"/>
  <c r="AG190"/>
  <c r="AF190"/>
  <c r="AE190"/>
  <c r="AD190"/>
  <c r="AC190"/>
  <c r="AB190"/>
  <c r="AG189"/>
  <c r="AF189"/>
  <c r="AE189"/>
  <c r="AD189"/>
  <c r="AC189"/>
  <c r="AB189"/>
  <c r="AG188"/>
  <c r="AF188"/>
  <c r="AE188"/>
  <c r="AD188"/>
  <c r="AC188"/>
  <c r="AB188"/>
  <c r="AG187"/>
  <c r="AF187"/>
  <c r="AE187"/>
  <c r="AD187"/>
  <c r="AC187"/>
  <c r="AB187"/>
  <c r="AG186"/>
  <c r="AF186"/>
  <c r="AE186"/>
  <c r="AD186"/>
  <c r="AC186"/>
  <c r="AB186"/>
  <c r="AG185"/>
  <c r="AF185"/>
  <c r="AE185"/>
  <c r="AD185"/>
  <c r="AC185"/>
  <c r="AB185"/>
  <c r="AG184"/>
  <c r="AF184"/>
  <c r="AE184"/>
  <c r="AD184"/>
  <c r="AC184"/>
  <c r="AB184"/>
  <c r="AG183"/>
  <c r="AF183"/>
  <c r="AE183"/>
  <c r="AD183"/>
  <c r="AC183"/>
  <c r="AB183"/>
  <c r="AG182"/>
  <c r="AF182"/>
  <c r="AE182"/>
  <c r="AD182"/>
  <c r="AC182"/>
  <c r="AB182"/>
  <c r="AG181"/>
  <c r="AF181"/>
  <c r="AE181"/>
  <c r="AD181"/>
  <c r="AC181"/>
  <c r="AB181"/>
  <c r="AG180"/>
  <c r="AF180"/>
  <c r="AE180"/>
  <c r="AD180"/>
  <c r="AC180"/>
  <c r="AB180"/>
  <c r="AG179"/>
  <c r="AF179"/>
  <c r="AE179"/>
  <c r="AD179"/>
  <c r="AC179"/>
  <c r="AB179"/>
  <c r="AG178"/>
  <c r="AF178"/>
  <c r="AE178"/>
  <c r="AD178"/>
  <c r="AC178"/>
  <c r="AB178"/>
  <c r="AG177"/>
  <c r="AF177"/>
  <c r="AE177"/>
  <c r="AD177"/>
  <c r="AC177"/>
  <c r="AB177"/>
  <c r="AG176"/>
  <c r="AF176"/>
  <c r="AE176"/>
  <c r="AD176"/>
  <c r="AC176"/>
  <c r="AB176"/>
  <c r="AG175"/>
  <c r="AF175"/>
  <c r="AE175"/>
  <c r="AD175"/>
  <c r="AC175"/>
  <c r="AB175"/>
  <c r="AG174"/>
  <c r="AF174"/>
  <c r="AE174"/>
  <c r="AD174"/>
  <c r="AC174"/>
  <c r="AB174"/>
  <c r="AG173"/>
  <c r="AF173"/>
  <c r="AE173"/>
  <c r="AD173"/>
  <c r="AC173"/>
  <c r="AB173"/>
  <c r="AG172"/>
  <c r="AF172"/>
  <c r="AE172"/>
  <c r="AD172"/>
  <c r="AC172"/>
  <c r="AB172"/>
  <c r="AG171"/>
  <c r="AF171"/>
  <c r="AE171"/>
  <c r="AD171"/>
  <c r="AC171"/>
  <c r="AB171"/>
  <c r="AG170"/>
  <c r="AF170"/>
  <c r="AE170"/>
  <c r="AD170"/>
  <c r="AC170"/>
  <c r="AB170"/>
  <c r="AG169"/>
  <c r="AF169"/>
  <c r="AE169"/>
  <c r="AD169"/>
  <c r="AC169"/>
  <c r="AB169"/>
  <c r="AG168"/>
  <c r="AF168"/>
  <c r="AE168"/>
  <c r="AD168"/>
  <c r="AC168"/>
  <c r="AB168"/>
  <c r="AG167"/>
  <c r="AF167"/>
  <c r="AE167"/>
  <c r="AD167"/>
  <c r="AC167"/>
  <c r="AB167"/>
  <c r="AG166"/>
  <c r="AF166"/>
  <c r="AE166"/>
  <c r="AD166"/>
  <c r="AC166"/>
  <c r="AB166"/>
  <c r="AG165"/>
  <c r="AF165"/>
  <c r="AE165"/>
  <c r="AD165"/>
  <c r="AC165"/>
  <c r="AB165"/>
  <c r="AG164"/>
  <c r="AF164"/>
  <c r="AE164"/>
  <c r="AD164"/>
  <c r="AC164"/>
  <c r="AB164"/>
  <c r="AG163"/>
  <c r="AF163"/>
  <c r="AE163"/>
  <c r="AD163"/>
  <c r="AC163"/>
  <c r="AB163"/>
  <c r="AG162"/>
  <c r="AF162"/>
  <c r="AE162"/>
  <c r="AD162"/>
  <c r="AC162"/>
  <c r="AB162"/>
  <c r="AG161"/>
  <c r="AF161"/>
  <c r="AE161"/>
  <c r="AD161"/>
  <c r="AC161"/>
  <c r="AB161"/>
  <c r="AG160"/>
  <c r="AF160"/>
  <c r="AE160"/>
  <c r="AD160"/>
  <c r="AC160"/>
  <c r="AB160"/>
  <c r="AG159"/>
  <c r="AF159"/>
  <c r="AE159"/>
  <c r="AD159"/>
  <c r="AC159"/>
  <c r="AB159"/>
  <c r="AG158"/>
  <c r="AF158"/>
  <c r="AE158"/>
  <c r="AD158"/>
  <c r="AC158"/>
  <c r="AB158"/>
  <c r="AG157"/>
  <c r="AF157"/>
  <c r="AE157"/>
  <c r="AD157"/>
  <c r="AC157"/>
  <c r="AB157"/>
  <c r="AG156"/>
  <c r="AF156"/>
  <c r="AE156"/>
  <c r="AD156"/>
  <c r="AC156"/>
  <c r="AB156"/>
  <c r="AG155"/>
  <c r="AF155"/>
  <c r="AE155"/>
  <c r="AD155"/>
  <c r="AC155"/>
  <c r="AB155"/>
  <c r="AG154"/>
  <c r="AF154"/>
  <c r="AE154"/>
  <c r="AD154"/>
  <c r="AC154"/>
  <c r="AB154"/>
  <c r="AG153"/>
  <c r="AF153"/>
  <c r="AE153"/>
  <c r="AD153"/>
  <c r="AC153"/>
  <c r="AB153"/>
  <c r="AG152"/>
  <c r="AF152"/>
  <c r="AE152"/>
  <c r="AD152"/>
  <c r="AC152"/>
  <c r="AB152"/>
  <c r="AG151"/>
  <c r="AF151"/>
  <c r="AE151"/>
  <c r="AD151"/>
  <c r="AC151"/>
  <c r="AB151"/>
  <c r="AG150"/>
  <c r="AF150"/>
  <c r="AE150"/>
  <c r="AD150"/>
  <c r="AC150"/>
  <c r="AB150"/>
  <c r="AG149"/>
  <c r="AF149"/>
  <c r="AE149"/>
  <c r="AD149"/>
  <c r="AC149"/>
  <c r="AB149"/>
  <c r="AG148"/>
  <c r="AF148"/>
  <c r="AE148"/>
  <c r="AD148"/>
  <c r="AC148"/>
  <c r="AB148"/>
  <c r="AG147"/>
  <c r="AF147"/>
  <c r="AE147"/>
  <c r="AD147"/>
  <c r="AC147"/>
  <c r="AB147"/>
  <c r="AG146"/>
  <c r="AF146"/>
  <c r="AE146"/>
  <c r="AD146"/>
  <c r="AC146"/>
  <c r="AB146"/>
  <c r="AG145"/>
  <c r="AF145"/>
  <c r="AE145"/>
  <c r="AD145"/>
  <c r="AC145"/>
  <c r="AB145"/>
  <c r="AG144"/>
  <c r="AF144"/>
  <c r="AE144"/>
  <c r="AD144"/>
  <c r="AC144"/>
  <c r="AB144"/>
  <c r="AG143"/>
  <c r="AF143"/>
  <c r="AE143"/>
  <c r="AD143"/>
  <c r="AC143"/>
  <c r="AB143"/>
  <c r="AG142"/>
  <c r="AF142"/>
  <c r="AE142"/>
  <c r="AD142"/>
  <c r="AC142"/>
  <c r="AB142"/>
  <c r="AG141"/>
  <c r="AF141"/>
  <c r="AE141"/>
  <c r="AD141"/>
  <c r="AC141"/>
  <c r="AB141"/>
  <c r="AG140"/>
  <c r="AF140"/>
  <c r="AE140"/>
  <c r="AD140"/>
  <c r="AC140"/>
  <c r="AB140"/>
  <c r="AG139"/>
  <c r="AF139"/>
  <c r="AE139"/>
  <c r="AD139"/>
  <c r="AC139"/>
  <c r="AB139"/>
  <c r="AG138"/>
  <c r="AF138"/>
  <c r="AE138"/>
  <c r="AD138"/>
  <c r="AC138"/>
  <c r="AB138"/>
  <c r="AG137"/>
  <c r="AF137"/>
  <c r="AE137"/>
  <c r="AD137"/>
  <c r="AC137"/>
  <c r="AB137"/>
  <c r="AG136"/>
  <c r="AF136"/>
  <c r="AE136"/>
  <c r="AD136"/>
  <c r="AC136"/>
  <c r="AB136"/>
  <c r="AG135"/>
  <c r="AF135"/>
  <c r="AE135"/>
  <c r="AD135"/>
  <c r="AC135"/>
  <c r="AB135"/>
  <c r="AG134"/>
  <c r="AF134"/>
  <c r="AE134"/>
  <c r="AD134"/>
  <c r="AC134"/>
  <c r="AB134"/>
  <c r="AG133"/>
  <c r="AF133"/>
  <c r="AE133"/>
  <c r="AD133"/>
  <c r="AC133"/>
  <c r="AB133"/>
  <c r="AG132"/>
  <c r="AF132"/>
  <c r="AE132"/>
  <c r="AD132"/>
  <c r="AC132"/>
  <c r="AB132"/>
  <c r="AG131"/>
  <c r="AF131"/>
  <c r="AE131"/>
  <c r="AD131"/>
  <c r="AC131"/>
  <c r="AB131"/>
  <c r="AG130"/>
  <c r="AF130"/>
  <c r="AE130"/>
  <c r="AD130"/>
  <c r="AC130"/>
  <c r="AB130"/>
  <c r="AG129"/>
  <c r="AF129"/>
  <c r="AE129"/>
  <c r="AD129"/>
  <c r="AC129"/>
  <c r="AB129"/>
  <c r="AG128"/>
  <c r="AF128"/>
  <c r="AE128"/>
  <c r="AD128"/>
  <c r="AC128"/>
  <c r="AB128"/>
  <c r="AG127"/>
  <c r="AF127"/>
  <c r="AE127"/>
  <c r="AD127"/>
  <c r="AC127"/>
  <c r="AB127"/>
  <c r="AG126"/>
  <c r="AF126"/>
  <c r="AE126"/>
  <c r="AD126"/>
  <c r="AC126"/>
  <c r="AB126"/>
  <c r="AG125"/>
  <c r="AF125"/>
  <c r="AE125"/>
  <c r="AD125"/>
  <c r="AC125"/>
  <c r="AB125"/>
  <c r="AG124"/>
  <c r="AF124"/>
  <c r="AE124"/>
  <c r="AD124"/>
  <c r="AC124"/>
  <c r="AB124"/>
  <c r="AG123"/>
  <c r="AF123"/>
  <c r="AE123"/>
  <c r="AD123"/>
  <c r="AC123"/>
  <c r="AB123"/>
  <c r="AG122"/>
  <c r="AF122"/>
  <c r="AE122"/>
  <c r="AD122"/>
  <c r="AC122"/>
  <c r="AB122"/>
  <c r="AG121"/>
  <c r="AF121"/>
  <c r="AE121"/>
  <c r="AD121"/>
  <c r="AC121"/>
  <c r="AB121"/>
  <c r="AG120"/>
  <c r="AF120"/>
  <c r="AE120"/>
  <c r="AD120"/>
  <c r="AC120"/>
  <c r="AB120"/>
  <c r="AG119"/>
  <c r="AF119"/>
  <c r="AE119"/>
  <c r="AD119"/>
  <c r="AC119"/>
  <c r="AB119"/>
  <c r="AG118"/>
  <c r="AF118"/>
  <c r="AE118"/>
  <c r="AD118"/>
  <c r="AC118"/>
  <c r="AB118"/>
  <c r="AG117"/>
  <c r="AF117"/>
  <c r="AE117"/>
  <c r="AD117"/>
  <c r="AC117"/>
  <c r="AB117"/>
  <c r="AG116"/>
  <c r="AF116"/>
  <c r="AE116"/>
  <c r="AD116"/>
  <c r="AC116"/>
  <c r="AB116"/>
  <c r="AG115"/>
  <c r="AF115"/>
  <c r="AE115"/>
  <c r="AD115"/>
  <c r="AC115"/>
  <c r="AB115"/>
  <c r="AG114"/>
  <c r="AF114"/>
  <c r="AE114"/>
  <c r="AD114"/>
  <c r="AC114"/>
  <c r="AB114"/>
  <c r="AG113"/>
  <c r="AF113"/>
  <c r="AE113"/>
  <c r="AD113"/>
  <c r="AC113"/>
  <c r="AB113"/>
  <c r="AG112"/>
  <c r="AF112"/>
  <c r="AE112"/>
  <c r="AD112"/>
  <c r="AC112"/>
  <c r="AB112"/>
  <c r="AG111"/>
  <c r="AF111"/>
  <c r="AE111"/>
  <c r="AD111"/>
  <c r="AC111"/>
  <c r="AB111"/>
  <c r="AG110"/>
  <c r="AF110"/>
  <c r="AE110"/>
  <c r="AD110"/>
  <c r="AC110"/>
  <c r="AB110"/>
  <c r="AG109"/>
  <c r="AF109"/>
  <c r="AE109"/>
  <c r="AD109"/>
  <c r="AC109"/>
  <c r="AB109"/>
  <c r="AG108"/>
  <c r="AF108"/>
  <c r="AE108"/>
  <c r="AD108"/>
  <c r="AC108"/>
  <c r="AB108"/>
  <c r="AG107"/>
  <c r="AF107"/>
  <c r="AE107"/>
  <c r="AD107"/>
  <c r="AC107"/>
  <c r="AB107"/>
  <c r="AG106"/>
  <c r="AF106"/>
  <c r="AE106"/>
  <c r="AD106"/>
  <c r="AC106"/>
  <c r="AB106"/>
  <c r="AG105"/>
  <c r="AF105"/>
  <c r="AE105"/>
  <c r="AD105"/>
  <c r="AC105"/>
  <c r="AB105"/>
  <c r="AG104"/>
  <c r="AF104"/>
  <c r="AE104"/>
  <c r="AD104"/>
  <c r="AC104"/>
  <c r="AB104"/>
  <c r="AG103"/>
  <c r="AF103"/>
  <c r="AE103"/>
  <c r="AD103"/>
  <c r="AC103"/>
  <c r="AB103"/>
  <c r="AG102"/>
  <c r="AF102"/>
  <c r="AE102"/>
  <c r="AD102"/>
  <c r="AC102"/>
  <c r="AB102"/>
  <c r="AG101"/>
  <c r="AF101"/>
  <c r="AE101"/>
  <c r="AD101"/>
  <c r="AC101"/>
  <c r="AB101"/>
  <c r="AG100"/>
  <c r="AF100"/>
  <c r="AE100"/>
  <c r="AD100"/>
  <c r="AC100"/>
  <c r="AB100"/>
  <c r="AG99"/>
  <c r="AF99"/>
  <c r="AE99"/>
  <c r="AD99"/>
  <c r="AC99"/>
  <c r="AB99"/>
  <c r="AG98"/>
  <c r="AF98"/>
  <c r="AE98"/>
  <c r="AD98"/>
  <c r="AC98"/>
  <c r="AB98"/>
  <c r="AG97"/>
  <c r="AF97"/>
  <c r="AE97"/>
  <c r="AD97"/>
  <c r="AC97"/>
  <c r="AB97"/>
  <c r="AG96"/>
  <c r="AF96"/>
  <c r="AE96"/>
  <c r="AD96"/>
  <c r="AC96"/>
  <c r="AB96"/>
  <c r="AG95"/>
  <c r="AF95"/>
  <c r="AE95"/>
  <c r="AD95"/>
  <c r="AC95"/>
  <c r="AB95"/>
  <c r="AG94"/>
  <c r="AF94"/>
  <c r="AE94"/>
  <c r="AD94"/>
  <c r="AC94"/>
  <c r="AB94"/>
  <c r="AG93"/>
  <c r="AF93"/>
  <c r="AE93"/>
  <c r="AD93"/>
  <c r="AC93"/>
  <c r="AB93"/>
  <c r="AG92"/>
  <c r="AF92"/>
  <c r="AE92"/>
  <c r="AD92"/>
  <c r="AC92"/>
  <c r="AB92"/>
  <c r="AG91"/>
  <c r="AF91"/>
  <c r="AE91"/>
  <c r="AD91"/>
  <c r="AC91"/>
  <c r="AB91"/>
  <c r="AG90"/>
  <c r="AF90"/>
  <c r="AE90"/>
  <c r="AD90"/>
  <c r="AC90"/>
  <c r="AB90"/>
  <c r="AG89"/>
  <c r="AF89"/>
  <c r="AE89"/>
  <c r="AD89"/>
  <c r="AC89"/>
  <c r="AB89"/>
  <c r="AG88"/>
  <c r="AF88"/>
  <c r="AE88"/>
  <c r="AD88"/>
  <c r="AC88"/>
  <c r="AB88"/>
  <c r="AG87"/>
  <c r="AF87"/>
  <c r="AE87"/>
  <c r="AD87"/>
  <c r="AC87"/>
  <c r="AB87"/>
  <c r="AG86"/>
  <c r="AF86"/>
  <c r="AE86"/>
  <c r="AD86"/>
  <c r="AC86"/>
  <c r="AB86"/>
  <c r="AG85"/>
  <c r="AF85"/>
  <c r="AE85"/>
  <c r="AD85"/>
  <c r="AC85"/>
  <c r="AB85"/>
  <c r="AG84"/>
  <c r="AF84"/>
  <c r="AE84"/>
  <c r="AD84"/>
  <c r="AC84"/>
  <c r="AB84"/>
  <c r="AG83"/>
  <c r="AF83"/>
  <c r="AE83"/>
  <c r="AD83"/>
  <c r="AC83"/>
  <c r="AB83"/>
  <c r="AG82"/>
  <c r="AF82"/>
  <c r="AE82"/>
  <c r="AD82"/>
  <c r="AC82"/>
  <c r="AB82"/>
  <c r="AG81"/>
  <c r="AF81"/>
  <c r="AE81"/>
  <c r="AD81"/>
  <c r="AC81"/>
  <c r="AB81"/>
  <c r="AG80"/>
  <c r="AF80"/>
  <c r="AE80"/>
  <c r="AD80"/>
  <c r="AC80"/>
  <c r="AB80"/>
  <c r="AG79"/>
  <c r="AF79"/>
  <c r="AE79"/>
  <c r="AD79"/>
  <c r="AC79"/>
  <c r="AB79"/>
  <c r="AG78"/>
  <c r="AF78"/>
  <c r="AE78"/>
  <c r="AD78"/>
  <c r="AC78"/>
  <c r="AB78"/>
  <c r="AG77"/>
  <c r="AF77"/>
  <c r="AE77"/>
  <c r="AD77"/>
  <c r="AC77"/>
  <c r="AB77"/>
  <c r="AG76"/>
  <c r="AF76"/>
  <c r="AE76"/>
  <c r="AD76"/>
  <c r="AC76"/>
  <c r="AB76"/>
  <c r="AG75"/>
  <c r="AF75"/>
  <c r="AE75"/>
  <c r="AD75"/>
  <c r="AC75"/>
  <c r="AB75"/>
  <c r="AG74"/>
  <c r="AF74"/>
  <c r="AE74"/>
  <c r="AD74"/>
  <c r="AC74"/>
  <c r="AB74"/>
  <c r="AG73"/>
  <c r="AF73"/>
  <c r="AE73"/>
  <c r="AD73"/>
  <c r="AC73"/>
  <c r="AB73"/>
  <c r="AG72"/>
  <c r="AF72"/>
  <c r="AE72"/>
  <c r="AD72"/>
  <c r="AC72"/>
  <c r="AB72"/>
  <c r="AG71"/>
  <c r="AF71"/>
  <c r="AE71"/>
  <c r="AD71"/>
  <c r="AC71"/>
  <c r="AB71"/>
  <c r="AG70"/>
  <c r="AF70"/>
  <c r="AE70"/>
  <c r="AD70"/>
  <c r="AC70"/>
  <c r="AB70"/>
  <c r="AG69"/>
  <c r="AF69"/>
  <c r="AE69"/>
  <c r="AD69"/>
  <c r="AC69"/>
  <c r="AB69"/>
  <c r="AG68"/>
  <c r="AF68"/>
  <c r="AE68"/>
  <c r="AD68"/>
  <c r="AC68"/>
  <c r="AB68"/>
  <c r="AG67"/>
  <c r="AF67"/>
  <c r="AE67"/>
  <c r="AD67"/>
  <c r="AC67"/>
  <c r="AB67"/>
  <c r="AG66"/>
  <c r="AF66"/>
  <c r="AE66"/>
  <c r="AD66"/>
  <c r="AC66"/>
  <c r="AB66"/>
  <c r="AG65"/>
  <c r="AF65"/>
  <c r="AE65"/>
  <c r="AD65"/>
  <c r="AC65"/>
  <c r="AB65"/>
  <c r="AG64"/>
  <c r="AF64"/>
  <c r="AE64"/>
  <c r="AD64"/>
  <c r="AC64"/>
  <c r="AB64"/>
  <c r="AG63"/>
  <c r="AF63"/>
  <c r="AE63"/>
  <c r="AD63"/>
  <c r="AC63"/>
  <c r="AB63"/>
  <c r="AG62"/>
  <c r="AF62"/>
  <c r="AE62"/>
  <c r="AD62"/>
  <c r="AC62"/>
  <c r="AB62"/>
  <c r="AG61"/>
  <c r="AF61"/>
  <c r="AE61"/>
  <c r="AD61"/>
  <c r="AC61"/>
  <c r="AB61"/>
  <c r="AG60"/>
  <c r="AF60"/>
  <c r="AE60"/>
  <c r="AD60"/>
  <c r="AC60"/>
  <c r="AB60"/>
  <c r="AG59"/>
  <c r="AF59"/>
  <c r="AE59"/>
  <c r="AD59"/>
  <c r="AC59"/>
  <c r="AB59"/>
  <c r="AG58"/>
  <c r="AF58"/>
  <c r="AE58"/>
  <c r="AD58"/>
  <c r="AC58"/>
  <c r="AB58"/>
  <c r="AG57"/>
  <c r="AF57"/>
  <c r="AE57"/>
  <c r="AD57"/>
  <c r="AC57"/>
  <c r="AB57"/>
  <c r="AG56"/>
  <c r="AF56"/>
  <c r="AE56"/>
  <c r="AD56"/>
  <c r="AC56"/>
  <c r="AB56"/>
  <c r="AG55"/>
  <c r="AF55"/>
  <c r="AE55"/>
  <c r="AD55"/>
  <c r="AC55"/>
  <c r="AB55"/>
  <c r="AG54"/>
  <c r="AF54"/>
  <c r="AE54"/>
  <c r="AD54"/>
  <c r="AC54"/>
  <c r="AB54"/>
  <c r="AG53"/>
  <c r="AF53"/>
  <c r="AE53"/>
  <c r="AD53"/>
  <c r="AC53"/>
  <c r="AB53"/>
  <c r="AG52"/>
  <c r="AF52"/>
  <c r="AE52"/>
  <c r="AD52"/>
  <c r="AC52"/>
  <c r="AB52"/>
  <c r="AG51"/>
  <c r="AF51"/>
  <c r="AE51"/>
  <c r="AD51"/>
  <c r="AC51"/>
  <c r="AB51"/>
  <c r="AG50"/>
  <c r="AF50"/>
  <c r="AE50"/>
  <c r="AD50"/>
  <c r="AC50"/>
  <c r="AB50"/>
  <c r="AG49"/>
  <c r="AF49"/>
  <c r="AE49"/>
  <c r="AD49"/>
  <c r="AC49"/>
  <c r="AB49"/>
  <c r="AG48"/>
  <c r="AF48"/>
  <c r="AE48"/>
  <c r="AD48"/>
  <c r="AC48"/>
  <c r="AB48"/>
  <c r="AG47"/>
  <c r="AF47"/>
  <c r="AE47"/>
  <c r="AD47"/>
  <c r="AC47"/>
  <c r="AB47"/>
  <c r="AG46"/>
  <c r="AF46"/>
  <c r="AE46"/>
  <c r="AD46"/>
  <c r="AC46"/>
  <c r="AB46"/>
  <c r="AG45"/>
  <c r="AF45"/>
  <c r="AE45"/>
  <c r="AD45"/>
  <c r="AC45"/>
  <c r="AB45"/>
  <c r="AG44"/>
  <c r="AF44"/>
  <c r="AE44"/>
  <c r="AD44"/>
  <c r="AC44"/>
  <c r="AB44"/>
  <c r="AG43"/>
  <c r="AF43"/>
  <c r="AE43"/>
  <c r="AD43"/>
  <c r="AC43"/>
  <c r="AB43"/>
  <c r="AG42"/>
  <c r="AF42"/>
  <c r="AE42"/>
  <c r="AD42"/>
  <c r="AC42"/>
  <c r="AB42"/>
  <c r="AG41"/>
  <c r="AF41"/>
  <c r="AE41"/>
  <c r="AD41"/>
  <c r="AC41"/>
  <c r="AB41"/>
  <c r="AG40"/>
  <c r="AF40"/>
  <c r="AE40"/>
  <c r="AD40"/>
  <c r="AC40"/>
  <c r="AB40"/>
  <c r="AG39"/>
  <c r="AF39"/>
  <c r="AE39"/>
  <c r="AD39"/>
  <c r="AC39"/>
  <c r="AB39"/>
  <c r="AG38"/>
  <c r="AF38"/>
  <c r="AE38"/>
  <c r="AD38"/>
  <c r="AC38"/>
  <c r="AB38"/>
  <c r="AG37"/>
  <c r="AF37"/>
  <c r="AE37"/>
  <c r="AD37"/>
  <c r="AC37"/>
  <c r="AB37"/>
  <c r="AG36"/>
  <c r="AF36"/>
  <c r="AE36"/>
  <c r="AD36"/>
  <c r="AC36"/>
  <c r="AB36"/>
  <c r="AG35"/>
  <c r="AF35"/>
  <c r="AE35"/>
  <c r="AD35"/>
  <c r="AC35"/>
  <c r="AB35"/>
  <c r="AG34"/>
  <c r="AF34"/>
  <c r="AE34"/>
  <c r="AD34"/>
  <c r="AC34"/>
  <c r="AB34"/>
  <c r="AG33"/>
  <c r="AF33"/>
  <c r="AE33"/>
  <c r="AD33"/>
  <c r="AC33"/>
  <c r="AB33"/>
  <c r="AG32"/>
  <c r="AF32"/>
  <c r="AE32"/>
  <c r="AD32"/>
  <c r="AC32"/>
  <c r="AB32"/>
  <c r="AG31"/>
  <c r="AF31"/>
  <c r="AE31"/>
  <c r="AD31"/>
  <c r="AC31"/>
  <c r="AB31"/>
  <c r="AG30"/>
  <c r="AF30"/>
  <c r="AE30"/>
  <c r="AD30"/>
  <c r="AC30"/>
  <c r="AB30"/>
  <c r="AG29"/>
  <c r="AF29"/>
  <c r="AE29"/>
  <c r="AD29"/>
  <c r="AC29"/>
  <c r="AB29"/>
  <c r="AG28"/>
  <c r="AF28"/>
  <c r="AE28"/>
  <c r="AD28"/>
  <c r="AC28"/>
  <c r="AB28"/>
  <c r="AG27"/>
  <c r="AF27"/>
  <c r="AE27"/>
  <c r="AD27"/>
  <c r="AC27"/>
  <c r="AB27"/>
  <c r="AG26"/>
  <c r="AF26"/>
  <c r="AE26"/>
  <c r="AD26"/>
  <c r="AC26"/>
  <c r="AB26"/>
  <c r="AG25"/>
  <c r="AF25"/>
  <c r="AE25"/>
  <c r="AD25"/>
  <c r="AC25"/>
  <c r="AB25"/>
  <c r="AG24"/>
  <c r="AF24"/>
  <c r="AE24"/>
  <c r="AD24"/>
  <c r="AC24"/>
  <c r="AB24"/>
  <c r="AG23"/>
  <c r="AF23"/>
  <c r="AE23"/>
  <c r="AD23"/>
  <c r="AC23"/>
  <c r="AB23"/>
  <c r="AG22"/>
  <c r="AF22"/>
  <c r="AE22"/>
  <c r="AD22"/>
  <c r="AC22"/>
  <c r="AB22"/>
  <c r="AG21"/>
  <c r="AF21"/>
  <c r="AE21"/>
  <c r="AD21"/>
  <c r="AC21"/>
  <c r="AB21"/>
  <c r="AG20"/>
  <c r="AF20"/>
  <c r="AE20"/>
  <c r="AD20"/>
  <c r="AC20"/>
  <c r="AB20"/>
  <c r="AG19"/>
  <c r="AF19"/>
  <c r="AE19"/>
  <c r="AD19"/>
  <c r="AC19"/>
  <c r="AB19"/>
  <c r="AG18"/>
  <c r="AF18"/>
  <c r="AE18"/>
  <c r="AD18"/>
  <c r="AC18"/>
  <c r="AB18"/>
  <c r="AG17"/>
  <c r="AF17"/>
  <c r="AE17"/>
  <c r="AD17"/>
  <c r="AC17"/>
  <c r="AB17"/>
  <c r="AG16"/>
  <c r="AF16"/>
  <c r="AE16"/>
  <c r="AD16"/>
  <c r="AC16"/>
  <c r="AB16"/>
  <c r="AC479" l="1"/>
  <c r="AH479" s="1"/>
  <c r="E287"/>
  <c r="E307"/>
  <c r="E311"/>
  <c r="E350"/>
  <c r="E482"/>
  <c r="E494"/>
  <c r="E518"/>
  <c r="E534"/>
  <c r="E538"/>
  <c r="AC508"/>
  <c r="AH508" s="1"/>
  <c r="D508"/>
  <c r="E348"/>
  <c r="AC348"/>
  <c r="AH348" s="1"/>
  <c r="E500"/>
  <c r="AC500"/>
  <c r="AH500" s="1"/>
  <c r="E516"/>
  <c r="AC516"/>
  <c r="AH516" s="1"/>
  <c r="E532"/>
  <c r="AC532"/>
  <c r="E541"/>
  <c r="AC541"/>
  <c r="E501"/>
  <c r="AC501"/>
  <c r="E517"/>
  <c r="AC517"/>
  <c r="E542"/>
  <c r="AC542"/>
  <c r="AC294"/>
  <c r="AH294" s="1"/>
  <c r="AC305"/>
  <c r="AH305" s="1"/>
  <c r="AC360"/>
  <c r="AH360" s="1"/>
  <c r="AC372"/>
  <c r="AH372" s="1"/>
  <c r="AC373"/>
  <c r="AH373" s="1"/>
  <c r="AC380"/>
  <c r="AH380" s="1"/>
  <c r="AC385"/>
  <c r="AH385" s="1"/>
  <c r="AC400"/>
  <c r="AH400" s="1"/>
  <c r="AC401"/>
  <c r="AH401" s="1"/>
  <c r="AC448"/>
  <c r="AH448" s="1"/>
  <c r="AC449"/>
  <c r="AH449" s="1"/>
  <c r="AC464"/>
  <c r="AH464" s="1"/>
  <c r="AC465"/>
  <c r="AH465" s="1"/>
  <c r="AC469"/>
  <c r="AC472"/>
  <c r="AH472" s="1"/>
  <c r="E504"/>
  <c r="AC504"/>
  <c r="AH504" s="1"/>
  <c r="E520"/>
  <c r="AC520"/>
  <c r="AH520" s="1"/>
  <c r="E330"/>
  <c r="AC330"/>
  <c r="AH330" s="1"/>
  <c r="E481"/>
  <c r="AC481"/>
  <c r="AH481" s="1"/>
  <c r="E489"/>
  <c r="AC489"/>
  <c r="AH489" s="1"/>
  <c r="E505"/>
  <c r="AC505"/>
  <c r="AH505" s="1"/>
  <c r="E340"/>
  <c r="E306"/>
  <c r="E310"/>
  <c r="AC287"/>
  <c r="AH287" s="1"/>
  <c r="AC304"/>
  <c r="AH304" s="1"/>
  <c r="AC306"/>
  <c r="AH306" s="1"/>
  <c r="AC307"/>
  <c r="AH307" s="1"/>
  <c r="AC310"/>
  <c r="AH310" s="1"/>
  <c r="AC311"/>
  <c r="AH311" s="1"/>
  <c r="AC340"/>
  <c r="AH340" s="1"/>
  <c r="AC350"/>
  <c r="AH350" s="1"/>
  <c r="E374"/>
  <c r="AC374"/>
  <c r="AH374" s="1"/>
  <c r="E398"/>
  <c r="AC398"/>
  <c r="AH398" s="1"/>
  <c r="E446"/>
  <c r="AC446"/>
  <c r="AH446" s="1"/>
  <c r="E462"/>
  <c r="AC462"/>
  <c r="AH462" s="1"/>
  <c r="E399"/>
  <c r="AC399"/>
  <c r="AH399" s="1"/>
  <c r="E423"/>
  <c r="AC423"/>
  <c r="AH423" s="1"/>
  <c r="E447"/>
  <c r="AC447"/>
  <c r="AH447" s="1"/>
  <c r="E463"/>
  <c r="AC463"/>
  <c r="AH463" s="1"/>
  <c r="E354"/>
  <c r="AC354"/>
  <c r="AH354" s="1"/>
  <c r="E386"/>
  <c r="AC386"/>
  <c r="AH386" s="1"/>
  <c r="E434"/>
  <c r="AC434"/>
  <c r="AH434" s="1"/>
  <c r="E466"/>
  <c r="AC466"/>
  <c r="AH466" s="1"/>
  <c r="E371"/>
  <c r="AC371"/>
  <c r="AH371" s="1"/>
  <c r="E403"/>
  <c r="AC403"/>
  <c r="AH403" s="1"/>
  <c r="E443"/>
  <c r="AC443"/>
  <c r="AH443" s="1"/>
  <c r="E451"/>
  <c r="AC451"/>
  <c r="AH451" s="1"/>
  <c r="E475"/>
  <c r="AC475"/>
  <c r="AH475" s="1"/>
  <c r="AC482"/>
  <c r="AH482" s="1"/>
  <c r="AC494"/>
  <c r="AH494" s="1"/>
  <c r="AC495"/>
  <c r="AH495" s="1"/>
  <c r="AC503"/>
  <c r="AH503" s="1"/>
  <c r="AC518"/>
  <c r="AH518" s="1"/>
  <c r="AC519"/>
  <c r="AH519" s="1"/>
  <c r="AC527"/>
  <c r="AH527" s="1"/>
  <c r="AC531"/>
  <c r="AH531" s="1"/>
  <c r="AC534"/>
  <c r="AH534" s="1"/>
  <c r="AC535"/>
  <c r="AH535" s="1"/>
  <c r="AC538"/>
  <c r="AH538" s="1"/>
  <c r="E300"/>
  <c r="AH483"/>
  <c r="AH487"/>
  <c r="AH16"/>
  <c r="AH20"/>
  <c r="AH24"/>
  <c r="AH32"/>
  <c r="AH36"/>
  <c r="AH48"/>
  <c r="AH52"/>
  <c r="AH56"/>
  <c r="AH60"/>
  <c r="AH64"/>
  <c r="AH71"/>
  <c r="AH79"/>
  <c r="AH87"/>
  <c r="AH91"/>
  <c r="AH99"/>
  <c r="AH103"/>
  <c r="AH111"/>
  <c r="AH123"/>
  <c r="AH131"/>
  <c r="AH139"/>
  <c r="AH147"/>
  <c r="AH155"/>
  <c r="AH159"/>
  <c r="AH163"/>
  <c r="AH167"/>
  <c r="AH175"/>
  <c r="AH179"/>
  <c r="AH187"/>
  <c r="AH191"/>
  <c r="AH195"/>
  <c r="AH207"/>
  <c r="AH211"/>
  <c r="AH171"/>
  <c r="AH151"/>
  <c r="AH143"/>
  <c r="AH127"/>
  <c r="AH119"/>
  <c r="AH67"/>
  <c r="AH28"/>
  <c r="AH219"/>
  <c r="AH227"/>
  <c r="AH231"/>
  <c r="AH243"/>
  <c r="AH247"/>
  <c r="AH259"/>
  <c r="AH75"/>
  <c r="AH107"/>
  <c r="AH135"/>
  <c r="AH199"/>
  <c r="AH215"/>
  <c r="AH223"/>
  <c r="AH235"/>
  <c r="AH239"/>
  <c r="AH251"/>
  <c r="AH491"/>
  <c r="AH499"/>
  <c r="AH507"/>
  <c r="AH511"/>
  <c r="AH263"/>
  <c r="AH515"/>
  <c r="AH523"/>
  <c r="AH540"/>
  <c r="AH203"/>
  <c r="AH183"/>
  <c r="AH115"/>
  <c r="AH95"/>
  <c r="AH83"/>
  <c r="AH40"/>
  <c r="AH19"/>
  <c r="AH27"/>
  <c r="AH35"/>
  <c r="AH347"/>
  <c r="AH351"/>
  <c r="AH355"/>
  <c r="AH359"/>
  <c r="AH363"/>
  <c r="AH367"/>
  <c r="AH375"/>
  <c r="AH379"/>
  <c r="AH383"/>
  <c r="AH387"/>
  <c r="AH391"/>
  <c r="AH395"/>
  <c r="AH407"/>
  <c r="AH411"/>
  <c r="AH415"/>
  <c r="AH427"/>
  <c r="AC478"/>
  <c r="AH44"/>
  <c r="AH55"/>
  <c r="AH419"/>
  <c r="AH43"/>
  <c r="AH39"/>
  <c r="AH47"/>
  <c r="AH51"/>
  <c r="AH346"/>
  <c r="AH358"/>
  <c r="AH362"/>
  <c r="AH366"/>
  <c r="AH370"/>
  <c r="AH378"/>
  <c r="AH382"/>
  <c r="AH390"/>
  <c r="AH394"/>
  <c r="AH402"/>
  <c r="AH406"/>
  <c r="AH410"/>
  <c r="AH414"/>
  <c r="AH418"/>
  <c r="AH422"/>
  <c r="AH426"/>
  <c r="AH430"/>
  <c r="AH431"/>
  <c r="AH435"/>
  <c r="AH438"/>
  <c r="AH439"/>
  <c r="AH442"/>
  <c r="AH450"/>
  <c r="AH454"/>
  <c r="AH455"/>
  <c r="AH458"/>
  <c r="AH459"/>
  <c r="AH467"/>
  <c r="AH470"/>
  <c r="AH471"/>
  <c r="AH474"/>
  <c r="G344"/>
  <c r="AB344" s="1"/>
  <c r="AH23"/>
  <c r="AH59"/>
  <c r="AH63"/>
  <c r="AH66"/>
  <c r="AH70"/>
  <c r="AH74"/>
  <c r="AH78"/>
  <c r="AH82"/>
  <c r="AH86"/>
  <c r="AH90"/>
  <c r="AH94"/>
  <c r="AH98"/>
  <c r="AH102"/>
  <c r="AH106"/>
  <c r="AH110"/>
  <c r="AH114"/>
  <c r="AH118"/>
  <c r="AH122"/>
  <c r="AH126"/>
  <c r="AH130"/>
  <c r="AH134"/>
  <c r="AH138"/>
  <c r="AH142"/>
  <c r="AH146"/>
  <c r="AH150"/>
  <c r="AH154"/>
  <c r="AH158"/>
  <c r="AH162"/>
  <c r="AH166"/>
  <c r="AH170"/>
  <c r="AH174"/>
  <c r="AH178"/>
  <c r="AH182"/>
  <c r="AH186"/>
  <c r="AH190"/>
  <c r="AH194"/>
  <c r="AH198"/>
  <c r="AH202"/>
  <c r="AH206"/>
  <c r="AH210"/>
  <c r="AH214"/>
  <c r="AH218"/>
  <c r="AH222"/>
  <c r="AH226"/>
  <c r="AH230"/>
  <c r="AH234"/>
  <c r="AH238"/>
  <c r="AH242"/>
  <c r="AH246"/>
  <c r="AH250"/>
  <c r="AH254"/>
  <c r="AH258"/>
  <c r="AH262"/>
  <c r="AH266"/>
  <c r="AH267"/>
  <c r="AH270"/>
  <c r="AH271"/>
  <c r="AH275"/>
  <c r="AH276"/>
  <c r="AH283"/>
  <c r="AH284"/>
  <c r="AH288"/>
  <c r="AH291"/>
  <c r="AH292"/>
  <c r="AH295"/>
  <c r="AH296"/>
  <c r="AH299"/>
  <c r="AH300"/>
  <c r="AH303"/>
  <c r="AH308"/>
  <c r="AH312"/>
  <c r="AH315"/>
  <c r="AH316"/>
  <c r="AH319"/>
  <c r="AH320"/>
  <c r="AH323"/>
  <c r="AH324"/>
  <c r="AH327"/>
  <c r="AH328"/>
  <c r="AH331"/>
  <c r="AH334"/>
  <c r="AH335"/>
  <c r="AH338"/>
  <c r="AH339"/>
  <c r="AH342"/>
  <c r="AH343"/>
  <c r="AH486"/>
  <c r="AH490"/>
  <c r="AH498"/>
  <c r="AH502"/>
  <c r="AH506"/>
  <c r="AH510"/>
  <c r="AH514"/>
  <c r="AH522"/>
  <c r="AH526"/>
  <c r="AH530"/>
  <c r="AH543"/>
  <c r="AH544"/>
  <c r="AC344"/>
  <c r="AB478"/>
  <c r="AD478"/>
  <c r="AD344"/>
  <c r="F344"/>
  <c r="AH17"/>
  <c r="AH18"/>
  <c r="AH29"/>
  <c r="AH34"/>
  <c r="AH38"/>
  <c r="AH41"/>
  <c r="AH42"/>
  <c r="AH45"/>
  <c r="AH46"/>
  <c r="AH49"/>
  <c r="AH53"/>
  <c r="AH57"/>
  <c r="AH61"/>
  <c r="AH65"/>
  <c r="AH68"/>
  <c r="AH72"/>
  <c r="AH76"/>
  <c r="AH80"/>
  <c r="AH21"/>
  <c r="AH22"/>
  <c r="AH25"/>
  <c r="AH26"/>
  <c r="AH30"/>
  <c r="AH33"/>
  <c r="AH37"/>
  <c r="AH31"/>
  <c r="AH50"/>
  <c r="AH54"/>
  <c r="AH58"/>
  <c r="AH255"/>
  <c r="AH84"/>
  <c r="AH88"/>
  <c r="AH92"/>
  <c r="AH96"/>
  <c r="AH100"/>
  <c r="AH104"/>
  <c r="AH108"/>
  <c r="AH112"/>
  <c r="AH116"/>
  <c r="AH120"/>
  <c r="AH124"/>
  <c r="AH128"/>
  <c r="AH132"/>
  <c r="AH136"/>
  <c r="AH140"/>
  <c r="AH144"/>
  <c r="AH148"/>
  <c r="AH152"/>
  <c r="AH156"/>
  <c r="AH160"/>
  <c r="AH164"/>
  <c r="AH168"/>
  <c r="AH172"/>
  <c r="AH176"/>
  <c r="AH180"/>
  <c r="AH184"/>
  <c r="AH188"/>
  <c r="AH192"/>
  <c r="AH196"/>
  <c r="AH200"/>
  <c r="AH204"/>
  <c r="AH208"/>
  <c r="AH212"/>
  <c r="AH216"/>
  <c r="AH220"/>
  <c r="AH224"/>
  <c r="AH228"/>
  <c r="AH232"/>
  <c r="AH236"/>
  <c r="AH240"/>
  <c r="AH244"/>
  <c r="AH248"/>
  <c r="AH252"/>
  <c r="AH256"/>
  <c r="AH260"/>
  <c r="AH264"/>
  <c r="AH268"/>
  <c r="AH272"/>
  <c r="AH277"/>
  <c r="AH281"/>
  <c r="AH285"/>
  <c r="AH289"/>
  <c r="AH293"/>
  <c r="AH297"/>
  <c r="AH301"/>
  <c r="AH309"/>
  <c r="AH313"/>
  <c r="AH317"/>
  <c r="AH321"/>
  <c r="AH325"/>
  <c r="AH329"/>
  <c r="AH332"/>
  <c r="AH336"/>
  <c r="AH352"/>
  <c r="AH356"/>
  <c r="AH364"/>
  <c r="AH368"/>
  <c r="AH376"/>
  <c r="AH384"/>
  <c r="AH388"/>
  <c r="AH392"/>
  <c r="AH396"/>
  <c r="AH404"/>
  <c r="AH408"/>
  <c r="AH412"/>
  <c r="AH416"/>
  <c r="AH420"/>
  <c r="AH424"/>
  <c r="AH428"/>
  <c r="AH432"/>
  <c r="AH436"/>
  <c r="AH440"/>
  <c r="AH444"/>
  <c r="AH452"/>
  <c r="AH456"/>
  <c r="AH460"/>
  <c r="AH468"/>
  <c r="AH476"/>
  <c r="AH480"/>
  <c r="AH484"/>
  <c r="AH488"/>
  <c r="AH492"/>
  <c r="AH496"/>
  <c r="AH512"/>
  <c r="AH524"/>
  <c r="AH528"/>
  <c r="AH532"/>
  <c r="AH536"/>
  <c r="AH541"/>
  <c r="AH62"/>
  <c r="AH69"/>
  <c r="AH73"/>
  <c r="AH77"/>
  <c r="AH81"/>
  <c r="AH85"/>
  <c r="AH89"/>
  <c r="AH93"/>
  <c r="AH97"/>
  <c r="AH101"/>
  <c r="AH105"/>
  <c r="AH109"/>
  <c r="AH113"/>
  <c r="AH117"/>
  <c r="AH121"/>
  <c r="AH125"/>
  <c r="AH129"/>
  <c r="AH133"/>
  <c r="AH137"/>
  <c r="AH141"/>
  <c r="AH145"/>
  <c r="AH149"/>
  <c r="AH153"/>
  <c r="AH157"/>
  <c r="AH161"/>
  <c r="AH165"/>
  <c r="AH169"/>
  <c r="AH173"/>
  <c r="AH177"/>
  <c r="AH181"/>
  <c r="AH185"/>
  <c r="AH189"/>
  <c r="AH193"/>
  <c r="AH197"/>
  <c r="AH201"/>
  <c r="AH205"/>
  <c r="AH209"/>
  <c r="AH213"/>
  <c r="AH217"/>
  <c r="AH221"/>
  <c r="AH225"/>
  <c r="AH229"/>
  <c r="AH233"/>
  <c r="AH237"/>
  <c r="AH241"/>
  <c r="AH245"/>
  <c r="AH249"/>
  <c r="AH253"/>
  <c r="AH257"/>
  <c r="AH261"/>
  <c r="AH265"/>
  <c r="AH269"/>
  <c r="AH274"/>
  <c r="AH278"/>
  <c r="AH282"/>
  <c r="AH286"/>
  <c r="AH290"/>
  <c r="AH298"/>
  <c r="AH302"/>
  <c r="AH314"/>
  <c r="AH318"/>
  <c r="AH322"/>
  <c r="AH326"/>
  <c r="AH333"/>
  <c r="AH337"/>
  <c r="AH341"/>
  <c r="AH345"/>
  <c r="AH349"/>
  <c r="AH353"/>
  <c r="AH357"/>
  <c r="AH361"/>
  <c r="AH365"/>
  <c r="AH369"/>
  <c r="AH377"/>
  <c r="AH381"/>
  <c r="AH389"/>
  <c r="AH393"/>
  <c r="AH397"/>
  <c r="AH405"/>
  <c r="AH409"/>
  <c r="AH413"/>
  <c r="AH417"/>
  <c r="AH421"/>
  <c r="AH425"/>
  <c r="AH429"/>
  <c r="AH433"/>
  <c r="AH437"/>
  <c r="AH441"/>
  <c r="AH445"/>
  <c r="AH453"/>
  <c r="AH457"/>
  <c r="AH461"/>
  <c r="AH469"/>
  <c r="AH473"/>
  <c r="AH477"/>
  <c r="AH485"/>
  <c r="AH493"/>
  <c r="AH497"/>
  <c r="AH501"/>
  <c r="AH509"/>
  <c r="AH513"/>
  <c r="AH517"/>
  <c r="AH521"/>
  <c r="AH525"/>
  <c r="AH529"/>
  <c r="AH533"/>
  <c r="AH537"/>
  <c r="AH542"/>
  <c r="AH344" l="1"/>
  <c r="AH478"/>
  <c r="E352" i="300"/>
  <c r="E347"/>
  <c r="E444" i="92"/>
  <c r="E445"/>
  <c r="E450"/>
  <c r="E452"/>
  <c r="E453"/>
  <c r="E454"/>
  <c r="E455"/>
  <c r="D442" l="1"/>
  <c r="D443"/>
  <c r="D444"/>
  <c r="D445"/>
  <c r="F61" i="300" l="1"/>
  <c r="K61" l="1"/>
  <c r="F15" i="92"/>
  <c r="F280" i="300" l="1"/>
  <c r="K280" s="1"/>
  <c r="F281"/>
  <c r="K281" s="1"/>
  <c r="F282"/>
  <c r="K282" s="1"/>
  <c r="F283"/>
  <c r="K283" s="1"/>
  <c r="F284"/>
  <c r="K284" s="1"/>
  <c r="F285"/>
  <c r="K285" s="1"/>
  <c r="F286"/>
  <c r="K286" s="1"/>
  <c r="F287"/>
  <c r="K287" s="1"/>
  <c r="F288"/>
  <c r="K288" s="1"/>
  <c r="F289"/>
  <c r="K289" s="1"/>
  <c r="F290"/>
  <c r="K290" s="1"/>
  <c r="F291"/>
  <c r="K291" s="1"/>
  <c r="F292"/>
  <c r="K292" s="1"/>
  <c r="F293"/>
  <c r="K293" s="1"/>
  <c r="F294"/>
  <c r="K294" s="1"/>
  <c r="F295"/>
  <c r="K295" s="1"/>
  <c r="F296"/>
  <c r="K296" s="1"/>
  <c r="F297"/>
  <c r="K297" s="1"/>
  <c r="F298"/>
  <c r="K298" s="1"/>
  <c r="F299"/>
  <c r="K299" s="1"/>
  <c r="F300"/>
  <c r="K300" s="1"/>
  <c r="F301"/>
  <c r="K301" s="1"/>
  <c r="F302"/>
  <c r="K302" s="1"/>
  <c r="F303"/>
  <c r="K303" s="1"/>
  <c r="F304"/>
  <c r="K304" s="1"/>
  <c r="F305"/>
  <c r="K305" s="1"/>
  <c r="F306"/>
  <c r="K306" s="1"/>
  <c r="F307"/>
  <c r="K307" s="1"/>
  <c r="F308"/>
  <c r="K308" s="1"/>
  <c r="F309"/>
  <c r="K309" s="1"/>
  <c r="F310"/>
  <c r="K310" s="1"/>
  <c r="F311"/>
  <c r="K311" s="1"/>
  <c r="F312"/>
  <c r="K312" s="1"/>
  <c r="F313"/>
  <c r="K313" s="1"/>
  <c r="F314"/>
  <c r="K314" s="1"/>
  <c r="F315"/>
  <c r="K315" s="1"/>
  <c r="F316"/>
  <c r="K316" s="1"/>
  <c r="F317"/>
  <c r="K317" s="1"/>
  <c r="F318"/>
  <c r="K318" s="1"/>
  <c r="F319"/>
  <c r="K319" s="1"/>
  <c r="F320"/>
  <c r="K320" s="1"/>
  <c r="F321"/>
  <c r="K321" s="1"/>
  <c r="F322"/>
  <c r="K322" s="1"/>
  <c r="F323"/>
  <c r="K323" s="1"/>
  <c r="F324"/>
  <c r="K324" s="1"/>
  <c r="F325"/>
  <c r="K325" s="1"/>
  <c r="F326"/>
  <c r="K326" s="1"/>
  <c r="F327"/>
  <c r="K327" s="1"/>
  <c r="F328"/>
  <c r="K328" s="1"/>
  <c r="F329"/>
  <c r="K329" s="1"/>
  <c r="F330"/>
  <c r="K330" s="1"/>
  <c r="F331"/>
  <c r="K331" s="1"/>
  <c r="F332"/>
  <c r="K332" s="1"/>
  <c r="F333"/>
  <c r="K333" s="1"/>
  <c r="F334"/>
  <c r="K334" s="1"/>
  <c r="F335"/>
  <c r="K335" s="1"/>
  <c r="F336"/>
  <c r="K336" s="1"/>
  <c r="F337"/>
  <c r="K337" s="1"/>
  <c r="F338"/>
  <c r="K338" s="1"/>
  <c r="F339"/>
  <c r="K339" s="1"/>
  <c r="F340"/>
  <c r="K340" s="1"/>
  <c r="F341"/>
  <c r="K341" s="1"/>
  <c r="F342"/>
  <c r="K342" s="1"/>
  <c r="F343"/>
  <c r="K343" s="1"/>
  <c r="F344"/>
  <c r="K344" s="1"/>
  <c r="F345"/>
  <c r="K345" s="1"/>
  <c r="F346"/>
  <c r="K346" s="1"/>
  <c r="F347"/>
  <c r="K347" s="1"/>
  <c r="F348"/>
  <c r="K348" s="1"/>
  <c r="F349"/>
  <c r="K349" s="1"/>
  <c r="F350"/>
  <c r="K350" s="1"/>
  <c r="F351"/>
  <c r="K351" s="1"/>
  <c r="F352"/>
  <c r="K352" s="1"/>
  <c r="F353"/>
  <c r="K353" s="1"/>
  <c r="F354"/>
  <c r="K354" s="1"/>
  <c r="F355"/>
  <c r="K355" s="1"/>
  <c r="F356"/>
  <c r="K356" s="1"/>
  <c r="F357"/>
  <c r="K357" s="1"/>
  <c r="F358"/>
  <c r="K358" s="1"/>
  <c r="F359"/>
  <c r="K359" s="1"/>
  <c r="F360"/>
  <c r="K360" s="1"/>
  <c r="F361"/>
  <c r="K361" s="1"/>
  <c r="F362"/>
  <c r="K362" s="1"/>
  <c r="F363"/>
  <c r="K363" s="1"/>
  <c r="F364"/>
  <c r="K364" s="1"/>
  <c r="F365"/>
  <c r="K365" s="1"/>
  <c r="F366"/>
  <c r="K366" s="1"/>
  <c r="F367"/>
  <c r="K367" s="1"/>
  <c r="F368"/>
  <c r="K368" s="1"/>
  <c r="F369"/>
  <c r="K369" s="1"/>
  <c r="F370"/>
  <c r="K370" s="1"/>
  <c r="F371"/>
  <c r="K371" s="1"/>
  <c r="F372"/>
  <c r="K372" s="1"/>
  <c r="F373"/>
  <c r="K373" s="1"/>
  <c r="F374"/>
  <c r="K374" s="1"/>
  <c r="F375"/>
  <c r="K375" s="1"/>
  <c r="F376"/>
  <c r="K376" s="1"/>
  <c r="F377"/>
  <c r="K377" s="1"/>
  <c r="F378"/>
  <c r="K378" s="1"/>
  <c r="F379"/>
  <c r="K379" s="1"/>
  <c r="F380"/>
  <c r="K380" s="1"/>
  <c r="F381"/>
  <c r="K381" s="1"/>
  <c r="F382"/>
  <c r="K382" s="1"/>
  <c r="F383"/>
  <c r="K383" s="1"/>
  <c r="F384"/>
  <c r="K384" s="1"/>
  <c r="F385"/>
  <c r="K385" s="1"/>
  <c r="F386"/>
  <c r="K386" s="1"/>
  <c r="F387"/>
  <c r="K387" s="1"/>
  <c r="F388"/>
  <c r="K388" s="1"/>
  <c r="F389"/>
  <c r="K389" s="1"/>
  <c r="F390"/>
  <c r="K390" s="1"/>
  <c r="F391"/>
  <c r="K391" s="1"/>
  <c r="F392"/>
  <c r="K392" s="1"/>
  <c r="F393"/>
  <c r="K393" s="1"/>
  <c r="F394"/>
  <c r="K394" s="1"/>
  <c r="F395"/>
  <c r="K395" s="1"/>
  <c r="F396"/>
  <c r="K396" s="1"/>
  <c r="F397"/>
  <c r="K397" s="1"/>
  <c r="F398"/>
  <c r="K398" s="1"/>
  <c r="F399"/>
  <c r="K399" s="1"/>
  <c r="F400"/>
  <c r="K400" s="1"/>
  <c r="F401"/>
  <c r="K401" s="1"/>
  <c r="F402"/>
  <c r="K402" s="1"/>
  <c r="F403"/>
  <c r="K403" s="1"/>
  <c r="F404"/>
  <c r="K404" s="1"/>
  <c r="F405"/>
  <c r="K405" s="1"/>
  <c r="F406"/>
  <c r="K406" s="1"/>
  <c r="F407"/>
  <c r="K407" s="1"/>
  <c r="F408"/>
  <c r="K408" s="1"/>
  <c r="F409"/>
  <c r="K409" s="1"/>
  <c r="F410"/>
  <c r="K410" s="1"/>
  <c r="F411"/>
  <c r="K411" s="1"/>
  <c r="F412"/>
  <c r="K412" s="1"/>
  <c r="F413"/>
  <c r="K413" s="1"/>
  <c r="F414"/>
  <c r="K414" s="1"/>
  <c r="F415"/>
  <c r="K415" s="1"/>
  <c r="F416"/>
  <c r="K416" s="1"/>
  <c r="F417"/>
  <c r="K417" s="1"/>
  <c r="F418"/>
  <c r="K418" s="1"/>
  <c r="F419"/>
  <c r="K419" s="1"/>
  <c r="F420"/>
  <c r="K420" s="1"/>
  <c r="F421"/>
  <c r="K421" s="1"/>
  <c r="F422"/>
  <c r="K422" s="1"/>
  <c r="F423"/>
  <c r="K423" s="1"/>
  <c r="F424"/>
  <c r="K424" s="1"/>
  <c r="F425"/>
  <c r="K425" s="1"/>
  <c r="F426"/>
  <c r="K426" s="1"/>
  <c r="F427"/>
  <c r="K427" s="1"/>
  <c r="F428"/>
  <c r="K428" s="1"/>
  <c r="F429"/>
  <c r="K429" s="1"/>
  <c r="F430"/>
  <c r="K430" s="1"/>
  <c r="F431"/>
  <c r="K431" s="1"/>
  <c r="F432"/>
  <c r="K432" s="1"/>
  <c r="F433"/>
  <c r="K433" s="1"/>
  <c r="F434"/>
  <c r="K434" s="1"/>
  <c r="F435"/>
  <c r="K435" s="1"/>
  <c r="F436"/>
  <c r="K436" s="1"/>
  <c r="F437"/>
  <c r="K437" s="1"/>
  <c r="F438"/>
  <c r="K438" s="1"/>
  <c r="F439"/>
  <c r="K439" s="1"/>
  <c r="F440"/>
  <c r="K440" s="1"/>
  <c r="F441"/>
  <c r="K441" s="1"/>
  <c r="F442"/>
  <c r="K442" s="1"/>
  <c r="F443"/>
  <c r="K443" s="1"/>
  <c r="F444"/>
  <c r="K444" s="1"/>
  <c r="F445"/>
  <c r="K445" s="1"/>
  <c r="F446"/>
  <c r="K446" s="1"/>
  <c r="F447"/>
  <c r="K447" s="1"/>
  <c r="F448"/>
  <c r="K448" s="1"/>
  <c r="F449"/>
  <c r="K449" s="1"/>
  <c r="F450"/>
  <c r="K450" s="1"/>
  <c r="F451"/>
  <c r="K451" s="1"/>
  <c r="F452"/>
  <c r="K452" s="1"/>
  <c r="F453"/>
  <c r="K453" s="1"/>
  <c r="F454"/>
  <c r="K454" s="1"/>
  <c r="F455"/>
  <c r="K455" s="1"/>
  <c r="F456"/>
  <c r="K456" s="1"/>
  <c r="F457"/>
  <c r="K457" s="1"/>
  <c r="F458"/>
  <c r="K458" s="1"/>
  <c r="F459"/>
  <c r="K459" s="1"/>
  <c r="F460"/>
  <c r="K460" s="1"/>
  <c r="F461"/>
  <c r="K461" s="1"/>
  <c r="F462"/>
  <c r="K462" s="1"/>
  <c r="F463"/>
  <c r="K463" s="1"/>
  <c r="F464"/>
  <c r="K464" s="1"/>
  <c r="F465"/>
  <c r="K465" s="1"/>
  <c r="F466"/>
  <c r="K466" s="1"/>
  <c r="F467"/>
  <c r="K467" s="1"/>
  <c r="F468"/>
  <c r="K468" s="1"/>
  <c r="F469"/>
  <c r="K469" s="1"/>
  <c r="F470"/>
  <c r="K470" s="1"/>
  <c r="F471"/>
  <c r="K471" s="1"/>
  <c r="F472"/>
  <c r="K472" s="1"/>
  <c r="F473"/>
  <c r="K473" s="1"/>
  <c r="F474"/>
  <c r="K474" s="1"/>
  <c r="F475"/>
  <c r="K475" s="1"/>
  <c r="F476"/>
  <c r="K476" s="1"/>
  <c r="F477"/>
  <c r="K477" s="1"/>
  <c r="F478"/>
  <c r="K478" s="1"/>
  <c r="F479"/>
  <c r="K479" s="1"/>
  <c r="F480"/>
  <c r="K480" s="1"/>
  <c r="F481"/>
  <c r="K481" s="1"/>
  <c r="F482"/>
  <c r="K482" s="1"/>
  <c r="F483"/>
  <c r="K483" s="1"/>
  <c r="F484"/>
  <c r="K484" s="1"/>
  <c r="F485"/>
  <c r="K485" s="1"/>
  <c r="F486"/>
  <c r="K486" s="1"/>
  <c r="F487"/>
  <c r="K487" s="1"/>
  <c r="F488"/>
  <c r="K488" s="1"/>
  <c r="F489"/>
  <c r="K489" s="1"/>
  <c r="F490"/>
  <c r="K490" s="1"/>
  <c r="F491"/>
  <c r="K491" s="1"/>
  <c r="F492"/>
  <c r="K492" s="1"/>
  <c r="F493"/>
  <c r="K493" s="1"/>
  <c r="F494"/>
  <c r="K494" s="1"/>
  <c r="F495"/>
  <c r="K495" s="1"/>
  <c r="F496"/>
  <c r="K496" s="1"/>
  <c r="F497"/>
  <c r="K497" s="1"/>
  <c r="F498"/>
  <c r="K498" s="1"/>
  <c r="F499"/>
  <c r="K499" s="1"/>
  <c r="F500"/>
  <c r="K500" s="1"/>
  <c r="F501"/>
  <c r="K501" s="1"/>
  <c r="F502"/>
  <c r="K502" s="1"/>
  <c r="F503"/>
  <c r="K503" s="1"/>
  <c r="F504"/>
  <c r="K504" s="1"/>
  <c r="F505"/>
  <c r="K505" s="1"/>
  <c r="F506"/>
  <c r="K506" s="1"/>
  <c r="F507"/>
  <c r="K507" s="1"/>
  <c r="F508"/>
  <c r="K508" s="1"/>
  <c r="F509"/>
  <c r="K509" s="1"/>
  <c r="F510"/>
  <c r="K510" s="1"/>
  <c r="F511"/>
  <c r="K511" s="1"/>
  <c r="F512"/>
  <c r="K512" s="1"/>
  <c r="F513"/>
  <c r="K513" s="1"/>
  <c r="F514"/>
  <c r="K514" s="1"/>
  <c r="F515"/>
  <c r="K515" s="1"/>
  <c r="F516"/>
  <c r="K516" s="1"/>
  <c r="F517"/>
  <c r="K517" s="1"/>
  <c r="F518"/>
  <c r="K518" s="1"/>
  <c r="F519"/>
  <c r="K519" s="1"/>
  <c r="F520"/>
  <c r="K520" s="1"/>
  <c r="F521"/>
  <c r="K521" s="1"/>
  <c r="F522"/>
  <c r="K522" s="1"/>
  <c r="F523"/>
  <c r="K523" s="1"/>
  <c r="F524"/>
  <c r="K524" s="1"/>
  <c r="F525"/>
  <c r="K525" s="1"/>
  <c r="F526"/>
  <c r="K526" s="1"/>
  <c r="F527"/>
  <c r="K527" s="1"/>
  <c r="F528"/>
  <c r="K528" s="1"/>
  <c r="F529"/>
  <c r="K529" s="1"/>
  <c r="F530"/>
  <c r="K530" s="1"/>
  <c r="F531"/>
  <c r="K531" s="1"/>
  <c r="F532"/>
  <c r="K532" s="1"/>
  <c r="F533"/>
  <c r="K533" s="1"/>
  <c r="F534"/>
  <c r="K534" s="1"/>
  <c r="F535"/>
  <c r="K535" s="1"/>
  <c r="F536"/>
  <c r="K536" s="1"/>
  <c r="F538"/>
  <c r="K538" s="1"/>
  <c r="F539"/>
  <c r="K539" s="1"/>
  <c r="F540"/>
  <c r="K540" s="1"/>
  <c r="F541"/>
  <c r="K541" s="1"/>
  <c r="F542"/>
  <c r="K542" s="1"/>
  <c r="E531" l="1"/>
  <c r="E325"/>
  <c r="D534" i="92"/>
  <c r="E283" l="1"/>
  <c r="E284"/>
  <c r="E285"/>
  <c r="E286"/>
  <c r="E288"/>
  <c r="E289"/>
  <c r="E290"/>
  <c r="E291"/>
  <c r="E292"/>
  <c r="E293"/>
  <c r="E295"/>
  <c r="E296"/>
  <c r="E297"/>
  <c r="E298"/>
  <c r="E299"/>
  <c r="E301"/>
  <c r="E302"/>
  <c r="E303"/>
  <c r="E308"/>
  <c r="E309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1"/>
  <c r="E332"/>
  <c r="E333"/>
  <c r="E334"/>
  <c r="E335"/>
  <c r="E336"/>
  <c r="E337"/>
  <c r="E338"/>
  <c r="E339"/>
  <c r="E341"/>
  <c r="E342"/>
  <c r="E343"/>
  <c r="E344"/>
  <c r="E345"/>
  <c r="E346"/>
  <c r="E347"/>
  <c r="E349"/>
  <c r="E351"/>
  <c r="E352"/>
  <c r="E353"/>
  <c r="E355"/>
  <c r="E356"/>
  <c r="E357"/>
  <c r="E358"/>
  <c r="E359"/>
  <c r="E361"/>
  <c r="E362"/>
  <c r="E363"/>
  <c r="E364"/>
  <c r="E365"/>
  <c r="E366"/>
  <c r="E367"/>
  <c r="E368"/>
  <c r="E369"/>
  <c r="E370"/>
  <c r="E375"/>
  <c r="E376"/>
  <c r="E377"/>
  <c r="E378"/>
  <c r="E379"/>
  <c r="E381"/>
  <c r="E382"/>
  <c r="E383"/>
  <c r="E384"/>
  <c r="E387"/>
  <c r="E388"/>
  <c r="E389"/>
  <c r="E390"/>
  <c r="E391"/>
  <c r="E392"/>
  <c r="E393"/>
  <c r="E394"/>
  <c r="E395"/>
  <c r="E396"/>
  <c r="E397"/>
  <c r="E402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4"/>
  <c r="E425"/>
  <c r="E426"/>
  <c r="E427"/>
  <c r="E428"/>
  <c r="E429"/>
  <c r="E430"/>
  <c r="E431"/>
  <c r="E432"/>
  <c r="E433"/>
  <c r="E435"/>
  <c r="E436"/>
  <c r="E437"/>
  <c r="E438"/>
  <c r="E439"/>
  <c r="E440"/>
  <c r="E441"/>
  <c r="E442"/>
  <c r="E456"/>
  <c r="E457"/>
  <c r="E458"/>
  <c r="E459"/>
  <c r="E460"/>
  <c r="E461"/>
  <c r="E467"/>
  <c r="E468"/>
  <c r="E470"/>
  <c r="E471"/>
  <c r="E473"/>
  <c r="E474"/>
  <c r="E476"/>
  <c r="E477"/>
  <c r="E478"/>
  <c r="E480"/>
  <c r="E483"/>
  <c r="E484"/>
  <c r="E485"/>
  <c r="E486"/>
  <c r="E487"/>
  <c r="E488"/>
  <c r="E490"/>
  <c r="E491"/>
  <c r="E492"/>
  <c r="E493"/>
  <c r="E496"/>
  <c r="E497"/>
  <c r="E498"/>
  <c r="E499"/>
  <c r="E502"/>
  <c r="E506"/>
  <c r="E507"/>
  <c r="E508"/>
  <c r="E509"/>
  <c r="E510"/>
  <c r="E511"/>
  <c r="E512"/>
  <c r="E513"/>
  <c r="E514"/>
  <c r="E515"/>
  <c r="E521"/>
  <c r="E522"/>
  <c r="E523"/>
  <c r="E524"/>
  <c r="E525"/>
  <c r="E526"/>
  <c r="E528"/>
  <c r="E529"/>
  <c r="E530"/>
  <c r="E536"/>
  <c r="E537"/>
  <c r="E540"/>
  <c r="E543"/>
  <c r="E544"/>
  <c r="E532" i="300"/>
  <c r="E523"/>
  <c r="E522"/>
  <c r="E518"/>
  <c r="E514"/>
  <c r="E512"/>
  <c r="E505"/>
  <c r="E504"/>
  <c r="E503"/>
  <c r="E501"/>
  <c r="E500"/>
  <c r="E491"/>
  <c r="E487"/>
  <c r="E477"/>
  <c r="E471"/>
  <c r="E469"/>
  <c r="E468"/>
  <c r="E467"/>
  <c r="E463"/>
  <c r="E462"/>
  <c r="E460"/>
  <c r="E449"/>
  <c r="E446"/>
  <c r="E437"/>
  <c r="E420"/>
  <c r="E414"/>
  <c r="E413"/>
  <c r="E401"/>
  <c r="E399"/>
  <c r="E398"/>
  <c r="E391"/>
  <c r="E388"/>
  <c r="E384"/>
  <c r="E382"/>
  <c r="E372"/>
  <c r="E366"/>
  <c r="E359"/>
  <c r="E355"/>
  <c r="E348"/>
  <c r="E320"/>
  <c r="E316"/>
  <c r="E306"/>
  <c r="D535" i="92"/>
  <c r="F253" i="300"/>
  <c r="K253" s="1"/>
  <c r="F127"/>
  <c r="K127" s="1"/>
  <c r="D525" i="92"/>
  <c r="D524"/>
  <c r="D520"/>
  <c r="D516"/>
  <c r="D514"/>
  <c r="D507"/>
  <c r="D506"/>
  <c r="D505"/>
  <c r="D503"/>
  <c r="D502"/>
  <c r="D493"/>
  <c r="D489"/>
  <c r="D479"/>
  <c r="D473"/>
  <c r="D471"/>
  <c r="D470"/>
  <c r="D469"/>
  <c r="D465"/>
  <c r="D464"/>
  <c r="D462"/>
  <c r="D451"/>
  <c r="D449"/>
  <c r="D448"/>
  <c r="D439"/>
  <c r="D436"/>
  <c r="D422"/>
  <c r="D416"/>
  <c r="D415"/>
  <c r="D403"/>
  <c r="D401"/>
  <c r="D400"/>
  <c r="D393"/>
  <c r="D390"/>
  <c r="D386"/>
  <c r="D384"/>
  <c r="D375"/>
  <c r="D374"/>
  <c r="D368"/>
  <c r="D361"/>
  <c r="D357"/>
  <c r="D354"/>
  <c r="D322"/>
  <c r="D318"/>
  <c r="D310"/>
  <c r="D308"/>
  <c r="F266" i="300"/>
  <c r="K266" s="1"/>
  <c r="F258"/>
  <c r="K258" s="1"/>
  <c r="F257"/>
  <c r="K257" s="1"/>
  <c r="F249"/>
  <c r="K249" s="1"/>
  <c r="F247"/>
  <c r="K247" s="1"/>
  <c r="F240"/>
  <c r="K240" s="1"/>
  <c r="F239"/>
  <c r="K239" s="1"/>
  <c r="F238"/>
  <c r="K238" s="1"/>
  <c r="F236"/>
  <c r="K236" s="1"/>
  <c r="F235"/>
  <c r="K235" s="1"/>
  <c r="F226"/>
  <c r="K226" s="1"/>
  <c r="F222"/>
  <c r="K222" s="1"/>
  <c r="F212"/>
  <c r="K212" s="1"/>
  <c r="F206"/>
  <c r="K206" s="1"/>
  <c r="F204"/>
  <c r="K204" s="1"/>
  <c r="F203"/>
  <c r="K203" s="1"/>
  <c r="F202"/>
  <c r="K202" s="1"/>
  <c r="F198"/>
  <c r="K198" s="1"/>
  <c r="F197"/>
  <c r="K197" s="1"/>
  <c r="F195"/>
  <c r="K195" s="1"/>
  <c r="F184"/>
  <c r="K184" s="1"/>
  <c r="F181"/>
  <c r="K181" s="1"/>
  <c r="F173"/>
  <c r="K173" s="1"/>
  <c r="F156"/>
  <c r="K156" s="1"/>
  <c r="F150"/>
  <c r="K150" s="1"/>
  <c r="F149"/>
  <c r="K149" s="1"/>
  <c r="F137"/>
  <c r="K137" s="1"/>
  <c r="F135"/>
  <c r="K135" s="1"/>
  <c r="F134"/>
  <c r="K134" s="1"/>
  <c r="F124"/>
  <c r="K124" s="1"/>
  <c r="F120"/>
  <c r="K120" s="1"/>
  <c r="F118"/>
  <c r="K118" s="1"/>
  <c r="F108"/>
  <c r="K108" s="1"/>
  <c r="F102"/>
  <c r="K102" s="1"/>
  <c r="F95"/>
  <c r="K95" s="1"/>
  <c r="F91"/>
  <c r="K91" s="1"/>
  <c r="F88"/>
  <c r="K88" s="1"/>
  <c r="F84"/>
  <c r="K84" s="1"/>
  <c r="F42"/>
  <c r="K42" s="1"/>
  <c r="F29"/>
  <c r="K29" s="1"/>
  <c r="E535" l="1"/>
  <c r="E536"/>
  <c r="E538"/>
  <c r="D537" i="92"/>
  <c r="D538"/>
  <c r="E317" i="300"/>
  <c r="F271" l="1"/>
  <c r="K271" s="1"/>
  <c r="E539"/>
  <c r="E540"/>
  <c r="F274" l="1"/>
  <c r="K274" s="1"/>
  <c r="F275"/>
  <c r="K275" s="1"/>
  <c r="E328" l="1"/>
  <c r="E324"/>
  <c r="E326"/>
  <c r="E327"/>
  <c r="C543" l="1"/>
  <c r="E511" l="1"/>
  <c r="E513"/>
  <c r="E330"/>
  <c r="E305" l="1"/>
  <c r="E307"/>
  <c r="D289" i="92"/>
  <c r="E397" i="300"/>
  <c r="E376"/>
  <c r="E375"/>
  <c r="E371"/>
  <c r="E356"/>
  <c r="E341"/>
  <c r="E333"/>
  <c r="F133"/>
  <c r="K133" s="1"/>
  <c r="D312" i="92"/>
  <c r="D313"/>
  <c r="D311"/>
  <c r="D314"/>
  <c r="D315"/>
  <c r="D316"/>
  <c r="D317"/>
  <c r="F62" i="300"/>
  <c r="K62" s="1"/>
  <c r="D486" i="92"/>
  <c r="D485"/>
  <c r="D483"/>
  <c r="G14" i="300" l="1"/>
  <c r="E542" l="1"/>
  <c r="D362" i="92" l="1"/>
  <c r="F77" i="300"/>
  <c r="K77" s="1"/>
  <c r="F168"/>
  <c r="K168" s="1"/>
  <c r="F190"/>
  <c r="K190" s="1"/>
  <c r="F196"/>
  <c r="K196" s="1"/>
  <c r="F207"/>
  <c r="K207" s="1"/>
  <c r="F218"/>
  <c r="K218" s="1"/>
  <c r="F219"/>
  <c r="K219" s="1"/>
  <c r="F232"/>
  <c r="K232" s="1"/>
  <c r="F252"/>
  <c r="K252" s="1"/>
  <c r="D333" i="92" l="1"/>
  <c r="D334"/>
  <c r="D335"/>
  <c r="D336"/>
  <c r="D337"/>
  <c r="F277" i="300" l="1"/>
  <c r="K277" s="1"/>
  <c r="D536" i="92" l="1"/>
  <c r="D285"/>
  <c r="D287"/>
  <c r="D286" l="1"/>
  <c r="E533" i="300"/>
  <c r="E534"/>
  <c r="E459" l="1"/>
  <c r="E461"/>
  <c r="D541" i="92" l="1"/>
  <c r="F56" i="300" l="1"/>
  <c r="K56" s="1"/>
  <c r="E439" l="1"/>
  <c r="E440"/>
  <c r="E441"/>
  <c r="E442"/>
  <c r="E443"/>
  <c r="D306" i="92" l="1"/>
  <c r="F259" i="300" l="1"/>
  <c r="K259" s="1"/>
  <c r="E315"/>
  <c r="D319" i="92"/>
  <c r="F129" i="300"/>
  <c r="K129" s="1"/>
  <c r="F130"/>
  <c r="K130" s="1"/>
  <c r="F131"/>
  <c r="K131" s="1"/>
  <c r="F132"/>
  <c r="K132" s="1"/>
  <c r="F234" l="1"/>
  <c r="K234" s="1"/>
  <c r="F237"/>
  <c r="K237" s="1"/>
  <c r="F208"/>
  <c r="K208" s="1"/>
  <c r="F209"/>
  <c r="K209" s="1"/>
  <c r="F176"/>
  <c r="K176" s="1"/>
  <c r="F177"/>
  <c r="K177" s="1"/>
  <c r="F164"/>
  <c r="K164" s="1"/>
  <c r="F157"/>
  <c r="K157" s="1"/>
  <c r="F138"/>
  <c r="K138" s="1"/>
  <c r="F67"/>
  <c r="K67" s="1"/>
  <c r="F68"/>
  <c r="K68" s="1"/>
  <c r="F69"/>
  <c r="K69" s="1"/>
  <c r="F70"/>
  <c r="K70" s="1"/>
  <c r="F21"/>
  <c r="K21" s="1"/>
  <c r="F52"/>
  <c r="K52" s="1"/>
  <c r="F119"/>
  <c r="K119" s="1"/>
  <c r="F125"/>
  <c r="K125" s="1"/>
  <c r="F153"/>
  <c r="K153" s="1"/>
  <c r="F199"/>
  <c r="K199" s="1"/>
  <c r="F205"/>
  <c r="K205" s="1"/>
  <c r="F214"/>
  <c r="K214" s="1"/>
  <c r="F215"/>
  <c r="K215" s="1"/>
  <c r="F216"/>
  <c r="K216" s="1"/>
  <c r="F227"/>
  <c r="K227" s="1"/>
  <c r="F233"/>
  <c r="K233" s="1"/>
  <c r="F251"/>
  <c r="K251" s="1"/>
  <c r="F260"/>
  <c r="K260" s="1"/>
  <c r="F265"/>
  <c r="K265" s="1"/>
  <c r="F100"/>
  <c r="K100" s="1"/>
  <c r="F101"/>
  <c r="K101" s="1"/>
  <c r="F103"/>
  <c r="K103" s="1"/>
  <c r="F104"/>
  <c r="K104" s="1"/>
  <c r="F105"/>
  <c r="K105" s="1"/>
  <c r="F106"/>
  <c r="K106" s="1"/>
  <c r="F107"/>
  <c r="K107" s="1"/>
  <c r="F109"/>
  <c r="K109" s="1"/>
  <c r="F22" l="1"/>
  <c r="K22" s="1"/>
  <c r="F23"/>
  <c r="K23" s="1"/>
  <c r="F24"/>
  <c r="K24" s="1"/>
  <c r="F25"/>
  <c r="K25" s="1"/>
  <c r="F26"/>
  <c r="K26" s="1"/>
  <c r="F27"/>
  <c r="K27" s="1"/>
  <c r="F28"/>
  <c r="K28" s="1"/>
  <c r="F30"/>
  <c r="K30" s="1"/>
  <c r="F31"/>
  <c r="K31" s="1"/>
  <c r="F19"/>
  <c r="K19" s="1"/>
  <c r="F20"/>
  <c r="F50"/>
  <c r="K50" s="1"/>
  <c r="F51"/>
  <c r="K51" s="1"/>
  <c r="K20" l="1"/>
  <c r="E293"/>
  <c r="E294"/>
  <c r="E295"/>
  <c r="D326" i="92"/>
  <c r="D327"/>
  <c r="D540" l="1"/>
  <c r="E417" i="300"/>
  <c r="E412"/>
  <c r="E405"/>
  <c r="E396"/>
  <c r="E383"/>
  <c r="E365"/>
  <c r="E360"/>
  <c r="F40" l="1"/>
  <c r="K40" s="1"/>
  <c r="F93"/>
  <c r="K93" s="1"/>
  <c r="F136"/>
  <c r="K136" s="1"/>
  <c r="F162"/>
  <c r="K162" s="1"/>
  <c r="F180"/>
  <c r="K180" s="1"/>
  <c r="F210"/>
  <c r="K210" s="1"/>
  <c r="F223"/>
  <c r="K223" s="1"/>
  <c r="F228"/>
  <c r="K228" s="1"/>
  <c r="F254"/>
  <c r="K254" s="1"/>
  <c r="F255"/>
  <c r="K255" s="1"/>
  <c r="F267" l="1"/>
  <c r="K267" s="1"/>
  <c r="F268"/>
  <c r="K268" s="1"/>
  <c r="F269"/>
  <c r="K269" s="1"/>
  <c r="F270"/>
  <c r="K270" s="1"/>
  <c r="F273"/>
  <c r="K273" s="1"/>
  <c r="F276"/>
  <c r="K276" s="1"/>
  <c r="E429" l="1"/>
  <c r="D293" i="92" l="1"/>
  <c r="B11" l="1"/>
  <c r="C14" i="300" l="1"/>
  <c r="C11"/>
  <c r="E400" l="1"/>
  <c r="E378"/>
  <c r="D543" i="92"/>
  <c r="F141" i="300"/>
  <c r="K141" s="1"/>
  <c r="F114"/>
  <c r="K114" s="1"/>
  <c r="F111"/>
  <c r="K111" s="1"/>
  <c r="F41"/>
  <c r="K41" s="1"/>
  <c r="E357" l="1"/>
  <c r="F221"/>
  <c r="K221" s="1"/>
  <c r="F225"/>
  <c r="K225" s="1"/>
  <c r="F241"/>
  <c r="K241" s="1"/>
  <c r="E488" l="1"/>
  <c r="E530" l="1"/>
  <c r="E445"/>
  <c r="F96"/>
  <c r="K96" s="1"/>
  <c r="F148"/>
  <c r="K148" s="1"/>
  <c r="F165"/>
  <c r="K165" s="1"/>
  <c r="B15" i="92" l="1"/>
  <c r="G545" l="1"/>
  <c r="E16"/>
  <c r="F178" i="300"/>
  <c r="F174"/>
  <c r="F264"/>
  <c r="K264" s="1"/>
  <c r="F263"/>
  <c r="K263" s="1"/>
  <c r="F262"/>
  <c r="K262" s="1"/>
  <c r="F261"/>
  <c r="K261" s="1"/>
  <c r="F256"/>
  <c r="K256" s="1"/>
  <c r="F250"/>
  <c r="K250" s="1"/>
  <c r="F248"/>
  <c r="K248" s="1"/>
  <c r="F246"/>
  <c r="K246" s="1"/>
  <c r="F244"/>
  <c r="K244" s="1"/>
  <c r="F242"/>
  <c r="K242" s="1"/>
  <c r="F231"/>
  <c r="K231" s="1"/>
  <c r="F230"/>
  <c r="K230" s="1"/>
  <c r="F229"/>
  <c r="F224"/>
  <c r="K224" s="1"/>
  <c r="F220"/>
  <c r="F213"/>
  <c r="F211"/>
  <c r="K211" s="1"/>
  <c r="F200"/>
  <c r="K200" s="1"/>
  <c r="F194"/>
  <c r="K194" s="1"/>
  <c r="F191"/>
  <c r="K191" s="1"/>
  <c r="F175"/>
  <c r="F170"/>
  <c r="K170" s="1"/>
  <c r="W168"/>
  <c r="F163"/>
  <c r="K163" s="1"/>
  <c r="F161"/>
  <c r="F159"/>
  <c r="K159" s="1"/>
  <c r="F155"/>
  <c r="K155" s="1"/>
  <c r="F151"/>
  <c r="F147"/>
  <c r="F145"/>
  <c r="F143"/>
  <c r="K143" s="1"/>
  <c r="F139"/>
  <c r="W131"/>
  <c r="F123"/>
  <c r="K123" s="1"/>
  <c r="F121"/>
  <c r="K121" s="1"/>
  <c r="F117"/>
  <c r="K117" s="1"/>
  <c r="F115"/>
  <c r="F113"/>
  <c r="K113" s="1"/>
  <c r="W105"/>
  <c r="W104"/>
  <c r="W100"/>
  <c r="F99"/>
  <c r="K99" s="1"/>
  <c r="F98"/>
  <c r="K98" s="1"/>
  <c r="F97"/>
  <c r="F94"/>
  <c r="K94" s="1"/>
  <c r="W91"/>
  <c r="F89"/>
  <c r="K89" s="1"/>
  <c r="F87"/>
  <c r="K87" s="1"/>
  <c r="F85"/>
  <c r="K85" s="1"/>
  <c r="F83"/>
  <c r="F81"/>
  <c r="K81" s="1"/>
  <c r="F79"/>
  <c r="F75"/>
  <c r="K75" s="1"/>
  <c r="F73"/>
  <c r="F71"/>
  <c r="W68"/>
  <c r="W67"/>
  <c r="F66"/>
  <c r="K66" s="1"/>
  <c r="F65"/>
  <c r="K65" s="1"/>
  <c r="F64"/>
  <c r="K64" s="1"/>
  <c r="F63"/>
  <c r="W62"/>
  <c r="F60"/>
  <c r="K60" s="1"/>
  <c r="F59"/>
  <c r="K59" s="1"/>
  <c r="F58"/>
  <c r="K58" s="1"/>
  <c r="F57"/>
  <c r="K57" s="1"/>
  <c r="F55"/>
  <c r="K55" s="1"/>
  <c r="F54"/>
  <c r="K54" s="1"/>
  <c r="F53"/>
  <c r="F49"/>
  <c r="K49" s="1"/>
  <c r="F48"/>
  <c r="K48" s="1"/>
  <c r="F47"/>
  <c r="K47" s="1"/>
  <c r="F46"/>
  <c r="K46" s="1"/>
  <c r="F45"/>
  <c r="K45" s="1"/>
  <c r="F44"/>
  <c r="K44" s="1"/>
  <c r="F43"/>
  <c r="K43" s="1"/>
  <c r="F39"/>
  <c r="K39" s="1"/>
  <c r="F38"/>
  <c r="K38" s="1"/>
  <c r="F37"/>
  <c r="K37" s="1"/>
  <c r="F36"/>
  <c r="F35"/>
  <c r="K35" s="1"/>
  <c r="F34"/>
  <c r="K34" s="1"/>
  <c r="F33"/>
  <c r="F32"/>
  <c r="W26"/>
  <c r="W25"/>
  <c r="W24"/>
  <c r="W23"/>
  <c r="W22"/>
  <c r="W19"/>
  <c r="F17"/>
  <c r="W51"/>
  <c r="E281"/>
  <c r="E285"/>
  <c r="E292"/>
  <c r="E302"/>
  <c r="E304"/>
  <c r="E308"/>
  <c r="E310"/>
  <c r="E311"/>
  <c r="E314"/>
  <c r="E321"/>
  <c r="E322"/>
  <c r="E329"/>
  <c r="E331"/>
  <c r="E337"/>
  <c r="E338"/>
  <c r="E345"/>
  <c r="E351"/>
  <c r="E361"/>
  <c r="E369"/>
  <c r="E373"/>
  <c r="E377"/>
  <c r="E379"/>
  <c r="E380"/>
  <c r="E385"/>
  <c r="E387"/>
  <c r="E395"/>
  <c r="E403"/>
  <c r="E407"/>
  <c r="E408"/>
  <c r="E409"/>
  <c r="E411"/>
  <c r="E418"/>
  <c r="E419"/>
  <c r="E421"/>
  <c r="E422"/>
  <c r="E427"/>
  <c r="E430"/>
  <c r="E434"/>
  <c r="E435"/>
  <c r="E450"/>
  <c r="E455"/>
  <c r="E456"/>
  <c r="E464"/>
  <c r="E483"/>
  <c r="E498"/>
  <c r="E506"/>
  <c r="E516"/>
  <c r="F15"/>
  <c r="F16"/>
  <c r="W30"/>
  <c r="W119"/>
  <c r="W206"/>
  <c r="W207"/>
  <c r="W228"/>
  <c r="W20"/>
  <c r="X89"/>
  <c r="X90"/>
  <c r="X91"/>
  <c r="W96"/>
  <c r="W101"/>
  <c r="W111"/>
  <c r="W77"/>
  <c r="W227"/>
  <c r="W127"/>
  <c r="W135"/>
  <c r="W141"/>
  <c r="F172"/>
  <c r="K172" s="1"/>
  <c r="W177"/>
  <c r="W180"/>
  <c r="F192"/>
  <c r="K192" s="1"/>
  <c r="W196"/>
  <c r="W202"/>
  <c r="W212"/>
  <c r="W221"/>
  <c r="W225"/>
  <c r="W226"/>
  <c r="E300"/>
  <c r="E301"/>
  <c r="E344"/>
  <c r="E374"/>
  <c r="E389"/>
  <c r="E393"/>
  <c r="E428"/>
  <c r="E436"/>
  <c r="E448"/>
  <c r="E452"/>
  <c r="E476"/>
  <c r="E481"/>
  <c r="E499"/>
  <c r="E515"/>
  <c r="I549" i="92"/>
  <c r="K15" i="300" l="1"/>
  <c r="K32"/>
  <c r="W53"/>
  <c r="K53"/>
  <c r="W63"/>
  <c r="K63"/>
  <c r="W214"/>
  <c r="K115"/>
  <c r="W147"/>
  <c r="K147"/>
  <c r="W161"/>
  <c r="K161"/>
  <c r="W175"/>
  <c r="K175"/>
  <c r="W229"/>
  <c r="K229"/>
  <c r="W16"/>
  <c r="K16"/>
  <c r="W73"/>
  <c r="K73"/>
  <c r="W83"/>
  <c r="K83"/>
  <c r="W145"/>
  <c r="K145"/>
  <c r="W18"/>
  <c r="K18"/>
  <c r="W33"/>
  <c r="K33"/>
  <c r="W71"/>
  <c r="K71"/>
  <c r="W220"/>
  <c r="K220"/>
  <c r="W178"/>
  <c r="K178"/>
  <c r="W17"/>
  <c r="K17"/>
  <c r="W36"/>
  <c r="K36"/>
  <c r="W79"/>
  <c r="K79"/>
  <c r="W97"/>
  <c r="K97"/>
  <c r="W139"/>
  <c r="K139"/>
  <c r="W151"/>
  <c r="K151"/>
  <c r="W213"/>
  <c r="K213"/>
  <c r="W174"/>
  <c r="K174"/>
  <c r="G558" i="92"/>
  <c r="AB545"/>
  <c r="W43" i="300"/>
  <c r="W65"/>
  <c r="W50"/>
  <c r="W32"/>
  <c r="W64"/>
  <c r="W21"/>
  <c r="W49"/>
  <c r="E404"/>
  <c r="E465"/>
  <c r="E323"/>
  <c r="W93"/>
  <c r="E279"/>
  <c r="E350"/>
  <c r="E424"/>
  <c r="E354"/>
  <c r="E362"/>
  <c r="E282"/>
  <c r="E368"/>
  <c r="E340"/>
  <c r="E485"/>
  <c r="E495"/>
  <c r="E312"/>
  <c r="E346"/>
  <c r="E342"/>
  <c r="E319"/>
  <c r="E458"/>
  <c r="E509"/>
  <c r="E489"/>
  <c r="E451"/>
  <c r="E423"/>
  <c r="E402"/>
  <c r="E364"/>
  <c r="E358"/>
  <c r="E353"/>
  <c r="E343"/>
  <c r="E332"/>
  <c r="E309"/>
  <c r="W210"/>
  <c r="E470"/>
  <c r="E370"/>
  <c r="E363"/>
  <c r="E313"/>
  <c r="F279"/>
  <c r="K279" s="1"/>
  <c r="E507"/>
  <c r="E444"/>
  <c r="E433"/>
  <c r="E406"/>
  <c r="E381"/>
  <c r="E334"/>
  <c r="E303"/>
  <c r="E299"/>
  <c r="W75"/>
  <c r="W95"/>
  <c r="E410"/>
  <c r="E392"/>
  <c r="E339"/>
  <c r="W230"/>
  <c r="W56"/>
  <c r="W28"/>
  <c r="W94"/>
  <c r="W103"/>
  <c r="W34"/>
  <c r="W46"/>
  <c r="W115"/>
  <c r="W155"/>
  <c r="E510"/>
  <c r="E474"/>
  <c r="E494"/>
  <c r="E466"/>
  <c r="E508"/>
  <c r="E478"/>
  <c r="W57"/>
  <c r="X197"/>
  <c r="X152"/>
  <c r="X147"/>
  <c r="Y147" s="1"/>
  <c r="X222"/>
  <c r="X116"/>
  <c r="X180"/>
  <c r="Y180" s="1"/>
  <c r="X157"/>
  <c r="X148"/>
  <c r="X144"/>
  <c r="X65"/>
  <c r="X117"/>
  <c r="X103"/>
  <c r="X154"/>
  <c r="X106"/>
  <c r="X28"/>
  <c r="X174"/>
  <c r="X162"/>
  <c r="X22"/>
  <c r="Y22" s="1"/>
  <c r="W99"/>
  <c r="F193"/>
  <c r="W54"/>
  <c r="W58"/>
  <c r="W55"/>
  <c r="W59"/>
  <c r="W69"/>
  <c r="W85"/>
  <c r="W60"/>
  <c r="W208"/>
  <c r="W98"/>
  <c r="W102"/>
  <c r="W66"/>
  <c r="E394"/>
  <c r="E390"/>
  <c r="E386"/>
  <c r="W222"/>
  <c r="W216"/>
  <c r="W204"/>
  <c r="W125"/>
  <c r="W81"/>
  <c r="W89"/>
  <c r="Y89" s="1"/>
  <c r="W107"/>
  <c r="W109"/>
  <c r="W117"/>
  <c r="W191"/>
  <c r="W218"/>
  <c r="W224"/>
  <c r="W200"/>
  <c r="W113"/>
  <c r="W124"/>
  <c r="W157"/>
  <c r="W172"/>
  <c r="W170"/>
  <c r="W192"/>
  <c r="W194"/>
  <c r="W198"/>
  <c r="D404" i="92"/>
  <c r="W15" i="300"/>
  <c r="E490"/>
  <c r="E425"/>
  <c r="D542" i="92"/>
  <c r="D544"/>
  <c r="D434"/>
  <c r="E286" i="300"/>
  <c r="D402" i="92"/>
  <c r="X220" i="300"/>
  <c r="E457"/>
  <c r="E438"/>
  <c r="E447"/>
  <c r="E541"/>
  <c r="E431"/>
  <c r="E473"/>
  <c r="X221"/>
  <c r="Y221" s="1"/>
  <c r="D430" i="92"/>
  <c r="D396"/>
  <c r="D392"/>
  <c r="D426"/>
  <c r="D408"/>
  <c r="E479" i="300"/>
  <c r="E291"/>
  <c r="G547"/>
  <c r="E486"/>
  <c r="E484"/>
  <c r="E482"/>
  <c r="E475"/>
  <c r="E287"/>
  <c r="E280"/>
  <c r="W199"/>
  <c r="F110"/>
  <c r="F112"/>
  <c r="F116"/>
  <c r="F122"/>
  <c r="F126"/>
  <c r="F128"/>
  <c r="W130"/>
  <c r="W132"/>
  <c r="W134"/>
  <c r="W136"/>
  <c r="W138"/>
  <c r="F140"/>
  <c r="F142"/>
  <c r="F144"/>
  <c r="F146"/>
  <c r="W148"/>
  <c r="W150"/>
  <c r="F152"/>
  <c r="F154"/>
  <c r="W156"/>
  <c r="F158"/>
  <c r="F160"/>
  <c r="W162"/>
  <c r="W164"/>
  <c r="F166"/>
  <c r="F182"/>
  <c r="W184"/>
  <c r="F186"/>
  <c r="F188"/>
  <c r="W190"/>
  <c r="F201"/>
  <c r="W197"/>
  <c r="W195"/>
  <c r="F217"/>
  <c r="K217" s="1"/>
  <c r="F243"/>
  <c r="K243" s="1"/>
  <c r="F245"/>
  <c r="K245" s="1"/>
  <c r="W35"/>
  <c r="W31"/>
  <c r="F72"/>
  <c r="F74"/>
  <c r="F76"/>
  <c r="K76" s="1"/>
  <c r="F78"/>
  <c r="F80"/>
  <c r="K80" s="1"/>
  <c r="F82"/>
  <c r="K82" s="1"/>
  <c r="F86"/>
  <c r="W163"/>
  <c r="F90"/>
  <c r="K90" s="1"/>
  <c r="F92"/>
  <c r="K92" s="1"/>
  <c r="W165"/>
  <c r="F167"/>
  <c r="K167" s="1"/>
  <c r="F169"/>
  <c r="F171"/>
  <c r="W176"/>
  <c r="F179"/>
  <c r="W181"/>
  <c r="F183"/>
  <c r="F185"/>
  <c r="F187"/>
  <c r="F189"/>
  <c r="D367" i="92"/>
  <c r="E284" i="300"/>
  <c r="E502"/>
  <c r="D446" i="92"/>
  <c r="D391"/>
  <c r="D377"/>
  <c r="D501"/>
  <c r="D504"/>
  <c r="D490"/>
  <c r="E480" i="300"/>
  <c r="E318"/>
  <c r="E493"/>
  <c r="E517"/>
  <c r="X186"/>
  <c r="X138"/>
  <c r="X132"/>
  <c r="X131"/>
  <c r="Y131" s="1"/>
  <c r="X53"/>
  <c r="D433" i="92"/>
  <c r="D423"/>
  <c r="D475"/>
  <c r="D477"/>
  <c r="D515"/>
  <c r="D517"/>
  <c r="D521"/>
  <c r="E283" i="300"/>
  <c r="D532" i="92"/>
  <c r="D522"/>
  <c r="D518"/>
  <c r="D495"/>
  <c r="D454"/>
  <c r="D420"/>
  <c r="D417"/>
  <c r="D413"/>
  <c r="D407"/>
  <c r="D405"/>
  <c r="D488"/>
  <c r="D482"/>
  <c r="D467"/>
  <c r="D463"/>
  <c r="D459"/>
  <c r="D455"/>
  <c r="D447"/>
  <c r="D438"/>
  <c r="D419"/>
  <c r="X62" i="300"/>
  <c r="Y62" s="1"/>
  <c r="X125"/>
  <c r="X229"/>
  <c r="X226"/>
  <c r="Y226" s="1"/>
  <c r="X83"/>
  <c r="X33"/>
  <c r="Y33" s="1"/>
  <c r="D378" i="92"/>
  <c r="D370"/>
  <c r="D372"/>
  <c r="E519" i="300"/>
  <c r="D498" i="92"/>
  <c r="Y91" i="300"/>
  <c r="X228"/>
  <c r="Y228" s="1"/>
  <c r="X225"/>
  <c r="Y225" s="1"/>
  <c r="X101"/>
  <c r="Y101" s="1"/>
  <c r="X71"/>
  <c r="Y71" s="1"/>
  <c r="X27"/>
  <c r="E525"/>
  <c r="D380" i="92"/>
  <c r="E416" i="300"/>
  <c r="E492"/>
  <c r="X202"/>
  <c r="Y202" s="1"/>
  <c r="X121"/>
  <c r="F278" l="1"/>
  <c r="X187"/>
  <c r="Y83"/>
  <c r="Y174"/>
  <c r="Y53"/>
  <c r="Y229"/>
  <c r="Y220"/>
  <c r="K74"/>
  <c r="Y65"/>
  <c r="W189"/>
  <c r="K189"/>
  <c r="W169"/>
  <c r="K169"/>
  <c r="W123"/>
  <c r="K72"/>
  <c r="W201"/>
  <c r="K201"/>
  <c r="W154"/>
  <c r="Y154" s="1"/>
  <c r="K154"/>
  <c r="W146"/>
  <c r="K146"/>
  <c r="W215"/>
  <c r="K116"/>
  <c r="W193"/>
  <c r="K193"/>
  <c r="W183"/>
  <c r="K183"/>
  <c r="W186"/>
  <c r="Y186" s="1"/>
  <c r="K186"/>
  <c r="W140"/>
  <c r="K140"/>
  <c r="W223"/>
  <c r="K122"/>
  <c r="W185"/>
  <c r="K185"/>
  <c r="W159"/>
  <c r="K86"/>
  <c r="W188"/>
  <c r="K188"/>
  <c r="W166"/>
  <c r="K166"/>
  <c r="W158"/>
  <c r="K158"/>
  <c r="W142"/>
  <c r="K142"/>
  <c r="W231"/>
  <c r="K126"/>
  <c r="W205"/>
  <c r="K110"/>
  <c r="W171"/>
  <c r="K171"/>
  <c r="W187"/>
  <c r="Y187" s="1"/>
  <c r="K187"/>
  <c r="W179"/>
  <c r="K179"/>
  <c r="W137"/>
  <c r="K78"/>
  <c r="W182"/>
  <c r="K182"/>
  <c r="W160"/>
  <c r="K160"/>
  <c r="W152"/>
  <c r="K152"/>
  <c r="W144"/>
  <c r="K144"/>
  <c r="W128"/>
  <c r="K128"/>
  <c r="W209"/>
  <c r="K112"/>
  <c r="W149"/>
  <c r="X73"/>
  <c r="Y73" s="1"/>
  <c r="W92"/>
  <c r="E558"/>
  <c r="X203"/>
  <c r="D437" i="92"/>
  <c r="D395"/>
  <c r="D429"/>
  <c r="D452"/>
  <c r="D321"/>
  <c r="D458"/>
  <c r="D394"/>
  <c r="D457"/>
  <c r="D409"/>
  <c r="D497"/>
  <c r="D387"/>
  <c r="D511"/>
  <c r="D431"/>
  <c r="D499"/>
  <c r="D323"/>
  <c r="D366"/>
  <c r="D381"/>
  <c r="D460"/>
  <c r="D461"/>
  <c r="D412"/>
  <c r="D530"/>
  <c r="E282"/>
  <c r="D353"/>
  <c r="D529"/>
  <c r="D421"/>
  <c r="D480"/>
  <c r="D379"/>
  <c r="D414"/>
  <c r="D428"/>
  <c r="D369"/>
  <c r="D512"/>
  <c r="D363"/>
  <c r="D450"/>
  <c r="D474"/>
  <c r="D491"/>
  <c r="D411"/>
  <c r="D424"/>
  <c r="D324"/>
  <c r="D425"/>
  <c r="D456"/>
  <c r="D476"/>
  <c r="D468"/>
  <c r="D410"/>
  <c r="D418"/>
  <c r="D406"/>
  <c r="D440"/>
  <c r="D388"/>
  <c r="D364"/>
  <c r="D376"/>
  <c r="H543" i="300"/>
  <c r="Y222"/>
  <c r="Y132"/>
  <c r="E521"/>
  <c r="Y144"/>
  <c r="Y152"/>
  <c r="Y148"/>
  <c r="Y157"/>
  <c r="Y117"/>
  <c r="D344" i="92"/>
  <c r="D365"/>
  <c r="D453"/>
  <c r="D329"/>
  <c r="D302"/>
  <c r="D309"/>
  <c r="D528"/>
  <c r="D435"/>
  <c r="D320"/>
  <c r="D487"/>
  <c r="D382"/>
  <c r="D526"/>
  <c r="D496"/>
  <c r="D513"/>
  <c r="D432"/>
  <c r="X105" i="300"/>
  <c r="Y105" s="1"/>
  <c r="D383" i="92"/>
  <c r="D299"/>
  <c r="Y103" i="300"/>
  <c r="Y28"/>
  <c r="Y162"/>
  <c r="Y138"/>
  <c r="Y197"/>
  <c r="Y125"/>
  <c r="E528"/>
  <c r="E529"/>
  <c r="D500" i="92"/>
  <c r="D492"/>
  <c r="X98" i="300"/>
  <c r="Y98" s="1"/>
  <c r="W219"/>
  <c r="W120"/>
  <c r="W211"/>
  <c r="W114"/>
  <c r="W217"/>
  <c r="W203"/>
  <c r="W122"/>
  <c r="W116"/>
  <c r="Y116" s="1"/>
  <c r="W108"/>
  <c r="W78"/>
  <c r="W167"/>
  <c r="W90"/>
  <c r="Y90" s="1"/>
  <c r="W153"/>
  <c r="W84"/>
  <c r="W143"/>
  <c r="W80"/>
  <c r="W133"/>
  <c r="W76"/>
  <c r="W129"/>
  <c r="W74"/>
  <c r="W121"/>
  <c r="Y121" s="1"/>
  <c r="W70"/>
  <c r="W29"/>
  <c r="W27"/>
  <c r="Y27" s="1"/>
  <c r="W173"/>
  <c r="W118"/>
  <c r="W112"/>
  <c r="W106"/>
  <c r="Y106" s="1"/>
  <c r="W82"/>
  <c r="W72"/>
  <c r="W110"/>
  <c r="W126"/>
  <c r="X63"/>
  <c r="Y63" s="1"/>
  <c r="X181"/>
  <c r="Y181" s="1"/>
  <c r="X100"/>
  <c r="Y100" s="1"/>
  <c r="X31"/>
  <c r="Y31" s="1"/>
  <c r="X112"/>
  <c r="X55"/>
  <c r="Y55" s="1"/>
  <c r="X94"/>
  <c r="Y94" s="1"/>
  <c r="X67"/>
  <c r="Y67" s="1"/>
  <c r="X93"/>
  <c r="Y93" s="1"/>
  <c r="X159"/>
  <c r="X188"/>
  <c r="X97"/>
  <c r="Y97" s="1"/>
  <c r="E432"/>
  <c r="D519" i="92"/>
  <c r="E298" i="300"/>
  <c r="X70"/>
  <c r="E453"/>
  <c r="X127"/>
  <c r="Y127" s="1"/>
  <c r="X58"/>
  <c r="Y58" s="1"/>
  <c r="D342" i="92"/>
  <c r="X136" i="300"/>
  <c r="Y136" s="1"/>
  <c r="D484" i="92"/>
  <c r="D466"/>
  <c r="D355"/>
  <c r="X142" i="300"/>
  <c r="X166"/>
  <c r="D338" i="92"/>
  <c r="D346"/>
  <c r="X207" i="300"/>
  <c r="Y207" s="1"/>
  <c r="X151"/>
  <c r="Y151" s="1"/>
  <c r="X165"/>
  <c r="Y165" s="1"/>
  <c r="X128"/>
  <c r="X85"/>
  <c r="Y85" s="1"/>
  <c r="X206"/>
  <c r="Y206" s="1"/>
  <c r="X212"/>
  <c r="Y212" s="1"/>
  <c r="D340" i="92"/>
  <c r="D349"/>
  <c r="X141" i="300"/>
  <c r="Y141" s="1"/>
  <c r="X171"/>
  <c r="X183"/>
  <c r="E520"/>
  <c r="E296"/>
  <c r="E349"/>
  <c r="D478" i="92"/>
  <c r="D397"/>
  <c r="X194" i="300"/>
  <c r="Y194" s="1"/>
  <c r="X172"/>
  <c r="Y172" s="1"/>
  <c r="D472" i="92"/>
  <c r="D307"/>
  <c r="X192" i="300"/>
  <c r="Y192" s="1"/>
  <c r="D427" i="92"/>
  <c r="D385"/>
  <c r="D527"/>
  <c r="X124" i="300"/>
  <c r="Y124" s="1"/>
  <c r="E426"/>
  <c r="E415"/>
  <c r="D297" i="92"/>
  <c r="D305"/>
  <c r="E524" i="300"/>
  <c r="D301" i="92"/>
  <c r="D339"/>
  <c r="D343"/>
  <c r="X137" i="300"/>
  <c r="X134"/>
  <c r="Y134" s="1"/>
  <c r="X175"/>
  <c r="Y175" s="1"/>
  <c r="D481" i="92"/>
  <c r="D300"/>
  <c r="D345"/>
  <c r="E281"/>
  <c r="D347"/>
  <c r="X178" i="300"/>
  <c r="Y178" s="1"/>
  <c r="D288" i="92"/>
  <c r="X195" i="300"/>
  <c r="Y195" s="1"/>
  <c r="D341" i="92"/>
  <c r="X160" i="300"/>
  <c r="D352" i="92"/>
  <c r="X17" i="300"/>
  <c r="Y17" s="1"/>
  <c r="X84"/>
  <c r="D373" i="92"/>
  <c r="D523"/>
  <c r="D389"/>
  <c r="D510"/>
  <c r="X139" i="300"/>
  <c r="Y139" s="1"/>
  <c r="X210"/>
  <c r="Y210" s="1"/>
  <c r="E527"/>
  <c r="D494" i="92"/>
  <c r="E526" i="300"/>
  <c r="X201"/>
  <c r="D303" i="92"/>
  <c r="X184" i="300"/>
  <c r="Y184" s="1"/>
  <c r="D330" i="92"/>
  <c r="D358"/>
  <c r="D359"/>
  <c r="X196" i="300"/>
  <c r="Y196" s="1"/>
  <c r="X231"/>
  <c r="D281" i="92"/>
  <c r="D332"/>
  <c r="X133" i="300"/>
  <c r="X168"/>
  <c r="Y168" s="1"/>
  <c r="X223"/>
  <c r="X135"/>
  <c r="Y135" s="1"/>
  <c r="X99"/>
  <c r="Y99" s="1"/>
  <c r="X102"/>
  <c r="Y102" s="1"/>
  <c r="X224"/>
  <c r="Y224" s="1"/>
  <c r="X122"/>
  <c r="X126"/>
  <c r="X161"/>
  <c r="Y161" s="1"/>
  <c r="H545" i="92"/>
  <c r="D360"/>
  <c r="D282"/>
  <c r="D284"/>
  <c r="X35" i="300"/>
  <c r="Y35" s="1"/>
  <c r="D371" i="92"/>
  <c r="D304"/>
  <c r="D325"/>
  <c r="D351"/>
  <c r="D356"/>
  <c r="D298"/>
  <c r="X26" i="300"/>
  <c r="Y26" s="1"/>
  <c r="E336"/>
  <c r="E454"/>
  <c r="E472"/>
  <c r="E367"/>
  <c r="D283" i="92"/>
  <c r="X74" i="300"/>
  <c r="X182"/>
  <c r="E297"/>
  <c r="E290"/>
  <c r="E289"/>
  <c r="D348" i="92"/>
  <c r="D509"/>
  <c r="D398"/>
  <c r="L545"/>
  <c r="D290"/>
  <c r="D296"/>
  <c r="X15" i="300"/>
  <c r="Y15" s="1"/>
  <c r="D291" i="92"/>
  <c r="D295"/>
  <c r="D292"/>
  <c r="D294"/>
  <c r="E279" l="1"/>
  <c r="X155" i="300"/>
  <c r="Y155" s="1"/>
  <c r="X158"/>
  <c r="X167"/>
  <c r="X190"/>
  <c r="Y190" s="1"/>
  <c r="Y231"/>
  <c r="Y171"/>
  <c r="Y182"/>
  <c r="Y183"/>
  <c r="Y128"/>
  <c r="Y166"/>
  <c r="E543"/>
  <c r="Y158"/>
  <c r="Y188"/>
  <c r="Y201"/>
  <c r="Y160"/>
  <c r="Y223"/>
  <c r="Y142"/>
  <c r="Y159"/>
  <c r="Y137"/>
  <c r="F556"/>
  <c r="K278"/>
  <c r="L558" i="92"/>
  <c r="AG545"/>
  <c r="H558"/>
  <c r="AC545"/>
  <c r="X145" i="300"/>
  <c r="Y145" s="1"/>
  <c r="X164"/>
  <c r="Y164" s="1"/>
  <c r="X24"/>
  <c r="Y24" s="1"/>
  <c r="X29"/>
  <c r="X57"/>
  <c r="Y57" s="1"/>
  <c r="X177"/>
  <c r="Y177" s="1"/>
  <c r="X146"/>
  <c r="Y146" s="1"/>
  <c r="Y203"/>
  <c r="D560" i="92"/>
  <c r="X213" i="300"/>
  <c r="Y213" s="1"/>
  <c r="X16"/>
  <c r="Y16" s="1"/>
  <c r="X198"/>
  <c r="Y198" s="1"/>
  <c r="X21"/>
  <c r="Y21" s="1"/>
  <c r="Y84"/>
  <c r="X204"/>
  <c r="Y204" s="1"/>
  <c r="X23"/>
  <c r="Y23" s="1"/>
  <c r="X170"/>
  <c r="Y170" s="1"/>
  <c r="X108"/>
  <c r="Y108" s="1"/>
  <c r="Y126"/>
  <c r="Y29"/>
  <c r="Y74"/>
  <c r="Y122"/>
  <c r="Y133"/>
  <c r="Y167"/>
  <c r="Y112"/>
  <c r="X205"/>
  <c r="Y205" s="1"/>
  <c r="X30"/>
  <c r="Y30" s="1"/>
  <c r="X189"/>
  <c r="Y189" s="1"/>
  <c r="X25"/>
  <c r="Y25" s="1"/>
  <c r="X163"/>
  <c r="Y163" s="1"/>
  <c r="Y70"/>
  <c r="X81"/>
  <c r="Y81" s="1"/>
  <c r="X179"/>
  <c r="Y179" s="1"/>
  <c r="X69"/>
  <c r="Y69" s="1"/>
  <c r="X217"/>
  <c r="Y217" s="1"/>
  <c r="X176"/>
  <c r="Y176" s="1"/>
  <c r="X211"/>
  <c r="Y211" s="1"/>
  <c r="X193"/>
  <c r="Y193" s="1"/>
  <c r="X50"/>
  <c r="Y50" s="1"/>
  <c r="X149"/>
  <c r="Y149" s="1"/>
  <c r="X64"/>
  <c r="Y64" s="1"/>
  <c r="X49"/>
  <c r="Y49" s="1"/>
  <c r="X218"/>
  <c r="Y218" s="1"/>
  <c r="X143"/>
  <c r="Y143" s="1"/>
  <c r="X77"/>
  <c r="Y77" s="1"/>
  <c r="X130"/>
  <c r="Y130" s="1"/>
  <c r="X68"/>
  <c r="Y68" s="1"/>
  <c r="X95"/>
  <c r="Y95" s="1"/>
  <c r="X51"/>
  <c r="Y51" s="1"/>
  <c r="X227"/>
  <c r="Y227" s="1"/>
  <c r="X119"/>
  <c r="Y119" s="1"/>
  <c r="X123"/>
  <c r="Y123" s="1"/>
  <c r="X60"/>
  <c r="Y60" s="1"/>
  <c r="X36"/>
  <c r="Y36" s="1"/>
  <c r="X208"/>
  <c r="Y208" s="1"/>
  <c r="X59"/>
  <c r="Y59" s="1"/>
  <c r="X46"/>
  <c r="Y46" s="1"/>
  <c r="X118"/>
  <c r="Y118" s="1"/>
  <c r="X215"/>
  <c r="Y215" s="1"/>
  <c r="X113"/>
  <c r="Y113" s="1"/>
  <c r="X140"/>
  <c r="Y140" s="1"/>
  <c r="X76"/>
  <c r="Y76" s="1"/>
  <c r="X214"/>
  <c r="Y214" s="1"/>
  <c r="X111"/>
  <c r="Y111" s="1"/>
  <c r="X153"/>
  <c r="Y153" s="1"/>
  <c r="X79"/>
  <c r="Y79" s="1"/>
  <c r="X199"/>
  <c r="Y199" s="1"/>
  <c r="X230"/>
  <c r="Y230" s="1"/>
  <c r="X120"/>
  <c r="Y120" s="1"/>
  <c r="X115"/>
  <c r="Y115" s="1"/>
  <c r="X216"/>
  <c r="Y216" s="1"/>
  <c r="X114"/>
  <c r="Y114" s="1"/>
  <c r="X173"/>
  <c r="Y173" s="1"/>
  <c r="X109"/>
  <c r="Y109" s="1"/>
  <c r="X219"/>
  <c r="Y219" s="1"/>
  <c r="X34"/>
  <c r="Y34" s="1"/>
  <c r="X43"/>
  <c r="Y43" s="1"/>
  <c r="X92"/>
  <c r="Y92" s="1"/>
  <c r="X19"/>
  <c r="Y19" s="1"/>
  <c r="X75"/>
  <c r="Y75" s="1"/>
  <c r="X20"/>
  <c r="Y20" s="1"/>
  <c r="X54"/>
  <c r="Y54" s="1"/>
  <c r="X107"/>
  <c r="Y107" s="1"/>
  <c r="X209"/>
  <c r="Y209" s="1"/>
  <c r="X185"/>
  <c r="Y185" s="1"/>
  <c r="X32"/>
  <c r="Y32" s="1"/>
  <c r="X129"/>
  <c r="Y129" s="1"/>
  <c r="X150"/>
  <c r="Y150" s="1"/>
  <c r="X78"/>
  <c r="Y78" s="1"/>
  <c r="X18"/>
  <c r="Y18" s="1"/>
  <c r="X66"/>
  <c r="Y66" s="1"/>
  <c r="X200"/>
  <c r="Y200" s="1"/>
  <c r="X104"/>
  <c r="Y104" s="1"/>
  <c r="X156"/>
  <c r="Y156" s="1"/>
  <c r="X80"/>
  <c r="Y80" s="1"/>
  <c r="X169"/>
  <c r="Y169" s="1"/>
  <c r="X191"/>
  <c r="Y191" s="1"/>
  <c r="X96"/>
  <c r="Y96" s="1"/>
  <c r="X56"/>
  <c r="Y56" s="1"/>
  <c r="X110"/>
  <c r="Y110" s="1"/>
  <c r="X82"/>
  <c r="Y82" s="1"/>
  <c r="X72"/>
  <c r="Y72" s="1"/>
  <c r="F543"/>
  <c r="K543" s="1"/>
  <c r="Y278" l="1"/>
  <c r="H556" l="1"/>
  <c r="E559" l="1"/>
  <c r="E545" i="92"/>
  <c r="E558"/>
  <c r="J545"/>
  <c r="E533"/>
  <c r="D533"/>
  <c r="K545"/>
  <c r="D531"/>
  <c r="I545"/>
  <c r="D350"/>
  <c r="D545" s="1"/>
  <c r="J558" l="1"/>
  <c r="AE545"/>
  <c r="I558"/>
  <c r="AD545"/>
  <c r="K558"/>
  <c r="AF545"/>
  <c r="D558"/>
  <c r="F558" s="1"/>
  <c r="D561"/>
  <c r="E556" i="300"/>
  <c r="G556" s="1"/>
  <c r="AH545" i="92" l="1"/>
</calcChain>
</file>

<file path=xl/comments1.xml><?xml version="1.0" encoding="utf-8"?>
<comments xmlns="http://schemas.openxmlformats.org/spreadsheetml/2006/main">
  <authors>
    <author>aarcec</author>
  </authors>
  <commentList>
    <comment ref="C14" authorId="0">
      <text>
        <r>
          <rPr>
            <b/>
            <sz val="8"/>
            <color indexed="81"/>
            <rFont val="Tahoma"/>
            <family val="2"/>
          </rPr>
          <t>aarcec:</t>
        </r>
        <r>
          <rPr>
            <sz val="8"/>
            <color indexed="81"/>
            <rFont val="Tahoma"/>
            <family val="2"/>
          </rPr>
          <t xml:space="preserve">
253011000104</t>
        </r>
      </text>
    </comment>
  </commentList>
</comments>
</file>

<file path=xl/sharedStrings.xml><?xml version="1.0" encoding="utf-8"?>
<sst xmlns="http://schemas.openxmlformats.org/spreadsheetml/2006/main" count="1082" uniqueCount="307">
  <si>
    <t>LIBRO MAYOR - MOVIMIENTO DEL DIA</t>
  </si>
  <si>
    <t>FECHA</t>
  </si>
  <si>
    <t>MOVIMIENTO</t>
  </si>
  <si>
    <t>EFECTIVO RECIBIDO</t>
  </si>
  <si>
    <t>EFECTIVO PAGADO</t>
  </si>
  <si>
    <t>BALANCE</t>
  </si>
  <si>
    <t>SALDOS QUE VIENEN</t>
  </si>
  <si>
    <t>APROVISIONAMIENTOS</t>
  </si>
  <si>
    <t>1 Shell Sta Teresita</t>
  </si>
  <si>
    <t>2 C.C. Plaza del Sol</t>
  </si>
  <si>
    <t>3 C.C Plaza Mayor</t>
  </si>
  <si>
    <t>4 Shell Pirro Heredia</t>
  </si>
  <si>
    <t>5 Shell Juan Pablo  2</t>
  </si>
  <si>
    <t>6 Shell Alajuela</t>
  </si>
  <si>
    <t>7 Shell San Cayetano</t>
  </si>
  <si>
    <t>8 Shell Uruca</t>
  </si>
  <si>
    <t>9 Shell Escazú</t>
  </si>
  <si>
    <t>10 Centro Médico Familiar</t>
  </si>
  <si>
    <t>11 Edificio Omni</t>
  </si>
  <si>
    <t>23 La Nación</t>
  </si>
  <si>
    <t>24 Aeropuerto</t>
  </si>
  <si>
    <t>25 Am Pm El Faro</t>
  </si>
  <si>
    <t>26 Am Pm Moravia</t>
  </si>
  <si>
    <t>27 Am Pm Curridabat</t>
  </si>
  <si>
    <t>28 Am Pm Sabana Sur</t>
  </si>
  <si>
    <t>37 Mall San Pedro</t>
  </si>
  <si>
    <t>39 Edificio Omni 2</t>
  </si>
  <si>
    <t>42 Plaza Uruca</t>
  </si>
  <si>
    <t>45 Bsj Cartago</t>
  </si>
  <si>
    <t>48 Shell Rohrmoser</t>
  </si>
  <si>
    <t>50 Gallito Industrial</t>
  </si>
  <si>
    <t>53 La Galera</t>
  </si>
  <si>
    <t>55 C.C. Feria del Norte</t>
  </si>
  <si>
    <t>58 Am Pm Los Yoses</t>
  </si>
  <si>
    <t>59 AM PM La Paulina</t>
  </si>
  <si>
    <t>60 AM PM Cariari</t>
  </si>
  <si>
    <t>63 Pozuelo</t>
  </si>
  <si>
    <t>67 Forum</t>
  </si>
  <si>
    <t>71 Procter &amp; Gamble</t>
  </si>
  <si>
    <t>80 Shell Ave 10</t>
  </si>
  <si>
    <t>82 Financiera Brunca Belén</t>
  </si>
  <si>
    <t>98 Mc Donal´s Plaza de la Cultura</t>
  </si>
  <si>
    <t>100 Rapibanco Real Cariari</t>
  </si>
  <si>
    <t>105 Rapibanco Plaza America</t>
  </si>
  <si>
    <t>76 Rapi Banco Novacentro</t>
  </si>
  <si>
    <t>101 C.C. Desamparados # 1</t>
  </si>
  <si>
    <t>103 C.C. Desamparados # 2</t>
  </si>
  <si>
    <t>EXEDENTES</t>
  </si>
  <si>
    <t>TOTAL  DE EXCEDENTES</t>
  </si>
  <si>
    <t>Saldos que Vienen</t>
  </si>
  <si>
    <t>Saldo</t>
  </si>
  <si>
    <t>DENOMINACIONES</t>
  </si>
  <si>
    <t>TOTAL DE APROVISIONAMIENTOS</t>
  </si>
  <si>
    <t>92 Mc Donald´s Banco Central</t>
  </si>
  <si>
    <t>93 Mc Donald´s Hospital</t>
  </si>
  <si>
    <t>94 Mc. Donald´s Metrocentro</t>
  </si>
  <si>
    <t>108 Multiplaza del Este Zapote</t>
  </si>
  <si>
    <t>109 Clinica Biblica ED. Omega</t>
  </si>
  <si>
    <t>110 AM PM Pavas</t>
  </si>
  <si>
    <t>112 Tierra Uno # 1 Ultrapack</t>
  </si>
  <si>
    <t>113 Tierra Uno # 2 Ultrapack</t>
  </si>
  <si>
    <t>114 Rapi Banco Santa Ana/Matra</t>
  </si>
  <si>
    <t>115 Autobanco Pavas # 1</t>
  </si>
  <si>
    <t>116 Autobanco Pavas # 2</t>
  </si>
  <si>
    <t>117 Autobanco Pavas # 3</t>
  </si>
  <si>
    <t>Cantidad de Cajeros Aprovisionados</t>
  </si>
  <si>
    <t>Cantidad de Cajeros Descargados</t>
  </si>
  <si>
    <t>Total de Cajeros</t>
  </si>
  <si>
    <t>95 Hotel San José Palacio</t>
  </si>
  <si>
    <t>118 Rapi Banco Terramall</t>
  </si>
  <si>
    <t>119 Ediicio Credomatic Curridabat</t>
  </si>
  <si>
    <t>122 GBM Forum Santa Ana</t>
  </si>
  <si>
    <t>64  Supra Telecon Cariari</t>
  </si>
  <si>
    <t>126 Plaza Avenida I</t>
  </si>
  <si>
    <t>128 Plaza Avenida III</t>
  </si>
  <si>
    <t>52 Hipermas San Sebastian</t>
  </si>
  <si>
    <t>91 Auto Mercado Limite</t>
  </si>
  <si>
    <t>97 Edif. Clinica Biblica #2</t>
  </si>
  <si>
    <t xml:space="preserve">132 Paseo de las Flores #1 </t>
  </si>
  <si>
    <t>133 Paseo de las Flores #2</t>
  </si>
  <si>
    <t>136 Abonos Agro La Uruca</t>
  </si>
  <si>
    <t>137 Mall Internacional Alajuela</t>
  </si>
  <si>
    <t>138 Farmacia Campos Guadalupe</t>
  </si>
  <si>
    <t>139 Intel</t>
  </si>
  <si>
    <t>143 AM PM Guayabo</t>
  </si>
  <si>
    <t>17 Novacentro</t>
  </si>
  <si>
    <t>146 Rapi Banco Aeropuerto</t>
  </si>
  <si>
    <t xml:space="preserve">124 Rapi Banco Tical Alajuela </t>
  </si>
  <si>
    <t xml:space="preserve"> </t>
  </si>
  <si>
    <t>149  Servicio Combustibles Coronado SA</t>
  </si>
  <si>
    <t>151 Rotonda La Bandera</t>
  </si>
  <si>
    <t>152 Rotonda La Bandera</t>
  </si>
  <si>
    <t>153 Rotonda La Bandera</t>
  </si>
  <si>
    <t>44 AM/PM Asamblea Legislativa</t>
  </si>
  <si>
    <t>150 Shell La Lima</t>
  </si>
  <si>
    <t>156 Firestone</t>
  </si>
  <si>
    <t>162 Super AM PM Paseo Colon</t>
  </si>
  <si>
    <t>163 Fresh Market Pinares</t>
  </si>
  <si>
    <t>164 Kimberly Clark Belen</t>
  </si>
  <si>
    <t>168 HP Forum</t>
  </si>
  <si>
    <t>157 Metalco Tibas</t>
  </si>
  <si>
    <t>40 Durmal Esquivel Coyol</t>
  </si>
  <si>
    <t>86 Plaza rohrmoser</t>
  </si>
  <si>
    <t>89 Conducen</t>
  </si>
  <si>
    <t>176 Nueva Suc Cartago</t>
  </si>
  <si>
    <t>179 Nueva Suc Cartago</t>
  </si>
  <si>
    <t>161 Teletica</t>
  </si>
  <si>
    <t>16 Shell Santo Domingo</t>
  </si>
  <si>
    <t>70 Matra Santa Ana</t>
  </si>
  <si>
    <t>83 BSJ-RBCO Multest N°2</t>
  </si>
  <si>
    <t>87 Walmart</t>
  </si>
  <si>
    <t>131 BSJ-Suc. Santa Ana 2</t>
  </si>
  <si>
    <t>130 BSJ-Suc. Santa Ana 1</t>
  </si>
  <si>
    <t>165 Kimberly Clark Cartago</t>
  </si>
  <si>
    <t>172 Univ. Interamericana</t>
  </si>
  <si>
    <t>173 Fresh Market Santa Ana</t>
  </si>
  <si>
    <t>174 Calcesa</t>
  </si>
  <si>
    <t>175 Bimbo-Heredia</t>
  </si>
  <si>
    <t>180 Cuidad Toyota Uruca</t>
  </si>
  <si>
    <t>182 Serv. Grales Del Oeste</t>
  </si>
  <si>
    <t>187 BSJ-Suc. AV. Segunda 1</t>
  </si>
  <si>
    <t>188 BSJ-Suc. AV. Segunda 2</t>
  </si>
  <si>
    <t>189 BSJ-Suc. AV. Segunda 3</t>
  </si>
  <si>
    <t>190 BSJ-Suc. AV. Segunda 4</t>
  </si>
  <si>
    <t>192 BSJ-Suc. Desamparados 2</t>
  </si>
  <si>
    <t>195 Hipermas Cartago</t>
  </si>
  <si>
    <t>200 Price Smart Tibas</t>
  </si>
  <si>
    <t>202 AMPM Freses</t>
  </si>
  <si>
    <t>197 Price Smart Zapote</t>
  </si>
  <si>
    <t>196 Price Smart Escazu</t>
  </si>
  <si>
    <t>199 Price Smart Heredia</t>
  </si>
  <si>
    <t>203 Suc Cartago 1</t>
  </si>
  <si>
    <t>204 Suc Cartago 2</t>
  </si>
  <si>
    <t>32 Avenida Segunda Disp 1</t>
  </si>
  <si>
    <t>77 Avenida Segunda Disp 2</t>
  </si>
  <si>
    <t>169 Hipermas Escazu</t>
  </si>
  <si>
    <t>171 Fujitsu</t>
  </si>
  <si>
    <t>205 Rbco El Cruce 1</t>
  </si>
  <si>
    <t>206 Rbco El Cruce 2</t>
  </si>
  <si>
    <t>207 Rbco Multiplaza 1</t>
  </si>
  <si>
    <t>208 Rbco Multiplaza 2</t>
  </si>
  <si>
    <t>209 Plaza Avenida 2</t>
  </si>
  <si>
    <t>210 Plaza Avenida 4</t>
  </si>
  <si>
    <t>211 Ultra Park Heredia</t>
  </si>
  <si>
    <t>212 Rbco Heredia 1</t>
  </si>
  <si>
    <t>213 Ebco Heredia 2</t>
  </si>
  <si>
    <t>214 Ebco Heredia 3</t>
  </si>
  <si>
    <t>215 Torre Mercedes</t>
  </si>
  <si>
    <t>216 Paseo de Las Flores 1</t>
  </si>
  <si>
    <t>219 Suc Aven Segunda 5</t>
  </si>
  <si>
    <t>220 Suc Aven Segunda 6</t>
  </si>
  <si>
    <t>221 AM PM Cenada</t>
  </si>
  <si>
    <t>222 AM PM San Francisco</t>
  </si>
  <si>
    <t>74 Shell Paraiso</t>
  </si>
  <si>
    <t>47 Calle Real</t>
  </si>
  <si>
    <t>61 Ef Paseo Colon</t>
  </si>
  <si>
    <t>12 Sucursal Alajuela</t>
  </si>
  <si>
    <t>13 C.C. Multiplaza Comidas</t>
  </si>
  <si>
    <t>15 Bsj Zona Franca Metro</t>
  </si>
  <si>
    <t>29 Am Pm Guachipelin</t>
  </si>
  <si>
    <t>34 Hipermas Curridabat</t>
  </si>
  <si>
    <t>36 Abonos Agro B. Mexico</t>
  </si>
  <si>
    <t>49 MxM Plaza America</t>
  </si>
  <si>
    <t>57 Coca Calle Blancos</t>
  </si>
  <si>
    <t>66 Intel</t>
  </si>
  <si>
    <t>69 M x M Coronado</t>
  </si>
  <si>
    <t>72 Sucursal Alajuela</t>
  </si>
  <si>
    <t>73 Saret</t>
  </si>
  <si>
    <t>75 Durman Esquivel Calle Blancos</t>
  </si>
  <si>
    <t>81 Jupema</t>
  </si>
  <si>
    <t>84 Pozuelo Lagunilla</t>
  </si>
  <si>
    <t>88 M x M Santo Domingo</t>
  </si>
  <si>
    <t>102 Feria del Norte</t>
  </si>
  <si>
    <t>107 Calcesa San Ramon</t>
  </si>
  <si>
    <t>111 Fresh Market Rohrmoser</t>
  </si>
  <si>
    <t>120 Automercado Barva</t>
  </si>
  <si>
    <t>121 Auto Banco Santa Ana</t>
  </si>
  <si>
    <t>125 Hotel Internacional</t>
  </si>
  <si>
    <t>127 Edificio Cronos</t>
  </si>
  <si>
    <t>129 Edificio Cronos</t>
  </si>
  <si>
    <t>140 Super Poas Alajuela</t>
  </si>
  <si>
    <t>141 Centro Comer San Ant Desamparados</t>
  </si>
  <si>
    <t>142 Centro Comer San Ant Desamparados</t>
  </si>
  <si>
    <t>145 Sucursal Alajuela</t>
  </si>
  <si>
    <t>160 Skyes Global Park</t>
  </si>
  <si>
    <t>170 Forum 2</t>
  </si>
  <si>
    <t>177 Sur Color Uruca</t>
  </si>
  <si>
    <t>178 Epa Curridabat</t>
  </si>
  <si>
    <t>183 Suc Heredia Nuevo</t>
  </si>
  <si>
    <t>184 Bomba Coronado 2</t>
  </si>
  <si>
    <t>191 H P Saret Zna Fca</t>
  </si>
  <si>
    <t>193 Teletec Calle Blancos</t>
  </si>
  <si>
    <t>223 Suc Cartago</t>
  </si>
  <si>
    <t>224 C C Paco Guachipelin</t>
  </si>
  <si>
    <t>226 Suc Guachipelin</t>
  </si>
  <si>
    <t>227 Suc Guachipelin</t>
  </si>
  <si>
    <t>228 Suc Desamparados</t>
  </si>
  <si>
    <t>229 Suc Desamparados</t>
  </si>
  <si>
    <t>230 Suc Grecia</t>
  </si>
  <si>
    <t>231 Suc Heredia Nuevo</t>
  </si>
  <si>
    <t>232 Suc Heredia Nuevo</t>
  </si>
  <si>
    <t>233 Real Cariari 2 Etapa</t>
  </si>
  <si>
    <t>234 Suc Terramall</t>
  </si>
  <si>
    <t>235 Suc Alajuela</t>
  </si>
  <si>
    <t>236 Suc Alajuela</t>
  </si>
  <si>
    <t>239 Hiper Guadalupe</t>
  </si>
  <si>
    <t>240 Hiper Heredia</t>
  </si>
  <si>
    <t>243 Suc Tibas</t>
  </si>
  <si>
    <t>244 Suc Tibas</t>
  </si>
  <si>
    <t>245 Rotonda La Bandera</t>
  </si>
  <si>
    <t>246 Rotonda La Bandera</t>
  </si>
  <si>
    <t>251 EPA Escazu</t>
  </si>
  <si>
    <t>252 Edificio Tifany</t>
  </si>
  <si>
    <t>253 Suc Terramall</t>
  </si>
  <si>
    <t>254 Fort Season Comidas</t>
  </si>
  <si>
    <t>255 Fort Season Lobby</t>
  </si>
  <si>
    <t>256 Papagayo Nicoya</t>
  </si>
  <si>
    <t>257 Tabacalera</t>
  </si>
  <si>
    <t>258 Hotel Marriot</t>
  </si>
  <si>
    <t>259 Hiper San Sebastian</t>
  </si>
  <si>
    <t>260 Hiper San Sebastian</t>
  </si>
  <si>
    <t>261 Suc Alajuela</t>
  </si>
  <si>
    <t>262 Suc Alajuela</t>
  </si>
  <si>
    <t>241 Hiper Curridabat</t>
  </si>
  <si>
    <t>18 Lobby Bac Oficc Cent</t>
  </si>
  <si>
    <t>31 Lobby Bac Oficc Cent</t>
  </si>
  <si>
    <t>33 Lobby Bac Oficc Cent</t>
  </si>
  <si>
    <t>35 Ge Money Alajuela</t>
  </si>
  <si>
    <t>38 Lobby Bac Oficc Centr</t>
  </si>
  <si>
    <t>43 Am Pm José Mª Zeledón</t>
  </si>
  <si>
    <t>78 Ge Money Alajuela</t>
  </si>
  <si>
    <t>79 Bac Office Cent 6º Piso</t>
  </si>
  <si>
    <t>90 Suc Moto Banco</t>
  </si>
  <si>
    <t>154 Intel</t>
  </si>
  <si>
    <t>155 Unileder</t>
  </si>
  <si>
    <t>166 Sucursal Grecia</t>
  </si>
  <si>
    <t>167 Costa Rica Contry Club</t>
  </si>
  <si>
    <t>218 Rapi Banco Sta Ana</t>
  </si>
  <si>
    <t>225 Sucursal Novacentro</t>
  </si>
  <si>
    <t>237 Lobby Bac Ofic Centr</t>
  </si>
  <si>
    <t>238 Lobby Bac Ofic Centr</t>
  </si>
  <si>
    <t>14 Auto Mercado San Francisco</t>
  </si>
  <si>
    <t>34 Ge Money Alajuela</t>
  </si>
  <si>
    <t>45 Copamex Cartago</t>
  </si>
  <si>
    <t>52 AM PM Cenada Barreal</t>
  </si>
  <si>
    <t>53 La Galera Cartago</t>
  </si>
  <si>
    <t>72 Hotel Irazu</t>
  </si>
  <si>
    <t>100 Rapibanco Plaza America</t>
  </si>
  <si>
    <t>113 Plaza Avenida</t>
  </si>
  <si>
    <t>114 plaza Avenida</t>
  </si>
  <si>
    <t>118 Perimercado Terramall</t>
  </si>
  <si>
    <t>22 Plaza Riviera</t>
  </si>
  <si>
    <t>21 Mall San Pedro</t>
  </si>
  <si>
    <t xml:space="preserve">85 Gallito </t>
  </si>
  <si>
    <t>221 Multiplaza Este</t>
  </si>
  <si>
    <t>230 Tierra Uno</t>
  </si>
  <si>
    <t>247 Sucursal Moravia</t>
  </si>
  <si>
    <t>248 Sucursal Moravia</t>
  </si>
  <si>
    <t>249 Sucursal Pavas</t>
  </si>
  <si>
    <t>250 Sucursal Pavas</t>
  </si>
  <si>
    <t>65 Bomba El Higueron</t>
  </si>
  <si>
    <t>99 Am Pm Morazan</t>
  </si>
  <si>
    <t>217 Suc Cima-Pista</t>
  </si>
  <si>
    <t>242 Suc San Ana</t>
  </si>
  <si>
    <t>263 Price Alajuela</t>
  </si>
  <si>
    <t>264 Price Tibas</t>
  </si>
  <si>
    <t>265 Price Heredia</t>
  </si>
  <si>
    <t>266 Price Zapote</t>
  </si>
  <si>
    <t>267 Price Escazu</t>
  </si>
  <si>
    <t>268 Multiplaza Oeste 5ª Etapa</t>
  </si>
  <si>
    <t>269 Suc Cima-Pista</t>
  </si>
  <si>
    <t>270 Fresh Market Multp</t>
  </si>
  <si>
    <t>271 Fresh Market Sabanilla</t>
  </si>
  <si>
    <t>272 Zona Franca Coyol</t>
  </si>
  <si>
    <t>273 Moog Medical el Coyol</t>
  </si>
  <si>
    <t>198 Lobby Suc Curri</t>
  </si>
  <si>
    <t>274 Ofic. Centrales BAC</t>
  </si>
  <si>
    <t>275 Ofic. Centrales BAC</t>
  </si>
  <si>
    <t>276 Ofic. Centrales BAC</t>
  </si>
  <si>
    <t>277 Ofic. Centrales BAC</t>
  </si>
  <si>
    <t>278 Torre Mercedes</t>
  </si>
  <si>
    <t>Total Descargas</t>
  </si>
  <si>
    <t>Total Cargas</t>
  </si>
  <si>
    <t>293 SJO BAC SAN PEDRO 2</t>
  </si>
  <si>
    <t xml:space="preserve">292 SJO BAC SAN PEDRO </t>
  </si>
  <si>
    <t>CARGA ANTERIOR</t>
  </si>
  <si>
    <t>Solicitud a boveda</t>
  </si>
  <si>
    <t>Solicitud a Boveda</t>
  </si>
  <si>
    <t>286 Intercontinental</t>
  </si>
  <si>
    <t>Entrega boveda</t>
  </si>
  <si>
    <t>Entrega a Boveda</t>
  </si>
  <si>
    <t xml:space="preserve">   </t>
  </si>
  <si>
    <t>279 HER-F . MARKET CARIARI</t>
  </si>
  <si>
    <t xml:space="preserve">293 SJO BAC SAN PEDRO </t>
  </si>
  <si>
    <t>Revisado por: _____________________.</t>
  </si>
  <si>
    <t>Hecho por: _______________________.</t>
  </si>
  <si>
    <t>Sobrantes ATM CAJERO 231</t>
  </si>
  <si>
    <t>Numero</t>
  </si>
  <si>
    <t>AP</t>
  </si>
  <si>
    <t>TOT</t>
  </si>
  <si>
    <t>Total de formulas</t>
  </si>
  <si>
    <t>ATM</t>
  </si>
  <si>
    <t>Número de ATM</t>
  </si>
  <si>
    <t>Fecha</t>
  </si>
  <si>
    <t>Última Carga CRC</t>
  </si>
  <si>
    <t>Última Carga USD</t>
  </si>
  <si>
    <t>F-BAC-Libro Mayor de Atms-CRI-0002847 V1</t>
  </si>
</sst>
</file>

<file path=xl/styles.xml><?xml version="1.0" encoding="utf-8"?>
<styleSheet xmlns="http://schemas.openxmlformats.org/spreadsheetml/2006/main">
  <numFmts count="16">
    <numFmt numFmtId="42" formatCode="_(&quot;₡&quot;* #,##0_);_(&quot;₡&quot;* \(#,##0\);_(&quot;₡&quot;* &quot;-&quot;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[$$-409]#,##0.00"/>
    <numFmt numFmtId="167" formatCode="&quot;¢&quot;#,##0.00"/>
    <numFmt numFmtId="168" formatCode="_([$C-140A]* #,##0.00_);_([$C-140A]* \(#,##0.00\);_([$C-140A]* &quot;-&quot;??_);_(@_)"/>
    <numFmt numFmtId="169" formatCode="_([$€]* #,##0.00_);_([$€]* \(#,##0.00\);_([$€]* &quot;-&quot;??_);_(@_)"/>
    <numFmt numFmtId="170" formatCode="&quot;$&quot;#,##0.00"/>
    <numFmt numFmtId="171" formatCode="_-* #,##0.00_-;\-* #,##0.00_-;_-* &quot;-&quot;_-;_-@_-"/>
    <numFmt numFmtId="172" formatCode="mmmm\ d\,\ yyyy"/>
    <numFmt numFmtId="173" formatCode="_([$$-409]* #,##0_);_([$$-409]* \(#,##0\);_([$$-409]* &quot;-&quot;_);_(@_)"/>
    <numFmt numFmtId="174" formatCode="_([$₡-140A]* #,##0_);_([$₡-140A]* \(#,##0\);_([$₡-140A]* &quot;-&quot;_);_(@_)"/>
    <numFmt numFmtId="175" formatCode="dd/mm/yy;@"/>
    <numFmt numFmtId="176" formatCode="_([$₡-140A]* #,##0.00_);_([$₡-140A]* \(#,##0.00\);_([$₡-140A]* &quot;-&quot;??_);_(@_)"/>
    <numFmt numFmtId="177" formatCode="_([$$-409]* #,##0.00_);_([$$-409]* \(#,##0.00\);_([$$-409]* &quot;-&quot;??_);_(@_)"/>
  </numFmts>
  <fonts count="3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sz val="10"/>
      <name val="Arial"/>
      <family val="2"/>
    </font>
    <font>
      <b/>
      <sz val="9"/>
      <color indexed="18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7" tint="0.59999389629810485"/>
      <name val="Arial"/>
      <family val="2"/>
    </font>
    <font>
      <b/>
      <i/>
      <sz val="9"/>
      <name val="Arial"/>
      <family val="2"/>
    </font>
    <font>
      <sz val="9"/>
      <color indexed="10"/>
      <name val="Arial"/>
      <family val="2"/>
    </font>
    <font>
      <b/>
      <sz val="12"/>
      <color theme="0" tint="-4.9989318521683403E-2"/>
      <name val="Arial"/>
      <family val="2"/>
    </font>
    <font>
      <b/>
      <sz val="12"/>
      <color theme="0"/>
      <name val="Arial"/>
      <family val="2"/>
    </font>
    <font>
      <sz val="12"/>
      <color theme="0" tint="-4.9989318521683403E-2"/>
      <name val="Arial"/>
      <family val="2"/>
    </font>
    <font>
      <sz val="12"/>
      <color rgb="FFFF0000"/>
      <name val="Arial"/>
      <family val="2"/>
    </font>
    <font>
      <b/>
      <sz val="12"/>
      <color indexed="18"/>
      <name val="Arial"/>
      <family val="2"/>
    </font>
    <font>
      <b/>
      <sz val="12"/>
      <color theme="1"/>
      <name val="Arial"/>
      <family val="2"/>
    </font>
    <font>
      <sz val="12"/>
      <color indexed="9"/>
      <name val="Arial"/>
      <family val="2"/>
    </font>
    <font>
      <b/>
      <sz val="12"/>
      <color indexed="8"/>
      <name val="Arial"/>
      <family val="2"/>
    </font>
    <font>
      <sz val="12"/>
      <color indexed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5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u/>
      <sz val="12"/>
      <color theme="0" tint="-4.9989318521683403E-2"/>
      <name val="Arial"/>
      <family val="2"/>
    </font>
    <font>
      <u/>
      <sz val="12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9">
    <xf numFmtId="0" fontId="0" fillId="0" borderId="0" applyProtection="0"/>
    <xf numFmtId="169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2" fillId="0" borderId="0" applyProtection="0"/>
    <xf numFmtId="0" fontId="4" fillId="0" borderId="0"/>
    <xf numFmtId="43" fontId="4" fillId="0" borderId="0" applyFont="0" applyFill="0" applyBorder="0" applyAlignment="0" applyProtection="0"/>
    <xf numFmtId="0" fontId="5" fillId="0" borderId="0" applyProtection="0"/>
    <xf numFmtId="0" fontId="5" fillId="0" borderId="0" applyProtection="0"/>
    <xf numFmtId="0" fontId="5" fillId="0" borderId="0" applyProtection="0"/>
    <xf numFmtId="9" fontId="4" fillId="0" borderId="0" applyFont="0" applyFill="0" applyBorder="0" applyAlignment="0" applyProtection="0"/>
    <xf numFmtId="0" fontId="5" fillId="0" borderId="0" applyProtection="0"/>
    <xf numFmtId="165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</cellStyleXfs>
  <cellXfs count="307">
    <xf numFmtId="0" fontId="0" fillId="0" borderId="0" xfId="0"/>
    <xf numFmtId="0" fontId="6" fillId="0" borderId="0" xfId="0" applyFont="1" applyFill="1"/>
    <xf numFmtId="0" fontId="7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Border="1" applyAlignment="1">
      <alignment horizontal="center"/>
    </xf>
    <xf numFmtId="167" fontId="7" fillId="0" borderId="0" xfId="0" applyNumberFormat="1" applyFont="1" applyFill="1" applyBorder="1"/>
    <xf numFmtId="167" fontId="6" fillId="0" borderId="0" xfId="0" applyNumberFormat="1" applyFont="1" applyFill="1" applyBorder="1"/>
    <xf numFmtId="170" fontId="10" fillId="3" borderId="2" xfId="0" applyNumberFormat="1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left"/>
    </xf>
    <xf numFmtId="1" fontId="6" fillId="0" borderId="0" xfId="0" applyNumberFormat="1" applyFont="1" applyFill="1"/>
    <xf numFmtId="0" fontId="7" fillId="0" borderId="0" xfId="0" applyFont="1" applyFill="1" applyBorder="1"/>
    <xf numFmtId="0" fontId="7" fillId="4" borderId="2" xfId="0" applyFont="1" applyFill="1" applyBorder="1" applyAlignment="1" applyProtection="1">
      <alignment horizontal="left"/>
      <protection locked="0"/>
    </xf>
    <xf numFmtId="0" fontId="13" fillId="0" borderId="0" xfId="0" applyFont="1" applyFill="1" applyBorder="1"/>
    <xf numFmtId="167" fontId="13" fillId="0" borderId="0" xfId="0" applyNumberFormat="1" applyFont="1" applyFill="1" applyBorder="1"/>
    <xf numFmtId="0" fontId="13" fillId="0" borderId="0" xfId="0" applyFont="1" applyFill="1"/>
    <xf numFmtId="1" fontId="13" fillId="0" borderId="0" xfId="0" applyNumberFormat="1" applyFont="1" applyFill="1"/>
    <xf numFmtId="166" fontId="6" fillId="0" borderId="2" xfId="0" applyNumberFormat="1" applyFont="1" applyFill="1" applyBorder="1" applyProtection="1">
      <protection locked="0"/>
    </xf>
    <xf numFmtId="166" fontId="6" fillId="6" borderId="2" xfId="0" applyNumberFormat="1" applyFont="1" applyFill="1" applyBorder="1" applyProtection="1">
      <protection locked="0"/>
    </xf>
    <xf numFmtId="166" fontId="6" fillId="2" borderId="2" xfId="0" applyNumberFormat="1" applyFont="1" applyFill="1" applyBorder="1" applyProtection="1">
      <protection locked="0"/>
    </xf>
    <xf numFmtId="0" fontId="6" fillId="2" borderId="0" xfId="0" applyFont="1" applyFill="1" applyBorder="1"/>
    <xf numFmtId="0" fontId="6" fillId="2" borderId="0" xfId="0" applyFont="1" applyFill="1"/>
    <xf numFmtId="167" fontId="7" fillId="2" borderId="0" xfId="0" applyNumberFormat="1" applyFont="1" applyFill="1" applyBorder="1"/>
    <xf numFmtId="1" fontId="6" fillId="2" borderId="0" xfId="0" applyNumberFormat="1" applyFont="1" applyFill="1"/>
    <xf numFmtId="172" fontId="10" fillId="3" borderId="6" xfId="0" applyNumberFormat="1" applyFont="1" applyFill="1" applyBorder="1" applyAlignment="1" applyProtection="1">
      <alignment horizontal="center"/>
      <protection locked="0"/>
    </xf>
    <xf numFmtId="167" fontId="7" fillId="0" borderId="2" xfId="0" applyNumberFormat="1" applyFont="1" applyFill="1" applyBorder="1" applyAlignment="1" applyProtection="1">
      <alignment horizontal="center"/>
      <protection locked="0"/>
    </xf>
    <xf numFmtId="0" fontId="7" fillId="0" borderId="9" xfId="0" applyFont="1" applyFill="1" applyBorder="1" applyAlignment="1" applyProtection="1">
      <alignment horizontal="left"/>
      <protection locked="0"/>
    </xf>
    <xf numFmtId="1" fontId="7" fillId="0" borderId="9" xfId="0" applyNumberFormat="1" applyFont="1" applyFill="1" applyBorder="1" applyProtection="1">
      <protection locked="0"/>
    </xf>
    <xf numFmtId="0" fontId="7" fillId="0" borderId="0" xfId="0" applyFont="1" applyFill="1" applyBorder="1" applyAlignment="1" applyProtection="1">
      <alignment horizontal="left"/>
      <protection locked="0"/>
    </xf>
    <xf numFmtId="15" fontId="8" fillId="0" borderId="4" xfId="0" applyNumberFormat="1" applyFont="1" applyFill="1" applyBorder="1" applyAlignment="1" applyProtection="1">
      <alignment horizontal="center"/>
      <protection locked="0"/>
    </xf>
    <xf numFmtId="0" fontId="8" fillId="0" borderId="9" xfId="0" applyFont="1" applyFill="1" applyBorder="1" applyAlignment="1" applyProtection="1">
      <alignment horizontal="left"/>
      <protection locked="0"/>
    </xf>
    <xf numFmtId="167" fontId="8" fillId="0" borderId="9" xfId="0" applyNumberFormat="1" applyFont="1" applyFill="1" applyBorder="1" applyProtection="1">
      <protection locked="0"/>
    </xf>
    <xf numFmtId="0" fontId="8" fillId="0" borderId="10" xfId="0" applyFont="1" applyBorder="1" applyProtection="1">
      <protection locked="0"/>
    </xf>
    <xf numFmtId="0" fontId="8" fillId="0" borderId="0" xfId="0" applyFont="1" applyFill="1" applyProtection="1">
      <protection locked="0"/>
    </xf>
    <xf numFmtId="15" fontId="8" fillId="0" borderId="5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167" fontId="8" fillId="0" borderId="0" xfId="0" applyNumberFormat="1" applyFont="1" applyFill="1" applyBorder="1" applyProtection="1">
      <protection locked="0"/>
    </xf>
    <xf numFmtId="167" fontId="9" fillId="0" borderId="0" xfId="0" applyNumberFormat="1" applyFont="1" applyFill="1" applyBorder="1" applyProtection="1">
      <protection locked="0"/>
    </xf>
    <xf numFmtId="0" fontId="8" fillId="0" borderId="7" xfId="0" applyFont="1" applyBorder="1" applyProtection="1">
      <protection locked="0"/>
    </xf>
    <xf numFmtId="167" fontId="8" fillId="0" borderId="0" xfId="0" quotePrefix="1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Fill="1" applyBorder="1" applyAlignment="1" applyProtection="1">
      <alignment horizontal="left"/>
      <protection locked="0"/>
    </xf>
    <xf numFmtId="167" fontId="9" fillId="0" borderId="0" xfId="0" quotePrefix="1" applyNumberFormat="1" applyFont="1" applyFill="1" applyBorder="1" applyAlignment="1" applyProtection="1">
      <alignment horizontal="right"/>
      <protection locked="0"/>
    </xf>
    <xf numFmtId="167" fontId="9" fillId="0" borderId="0" xfId="0" quotePrefix="1" applyNumberFormat="1" applyFont="1" applyFill="1" applyBorder="1" applyAlignment="1" applyProtection="1">
      <alignment horizontal="center"/>
      <protection locked="0"/>
    </xf>
    <xf numFmtId="15" fontId="8" fillId="0" borderId="11" xfId="0" applyNumberFormat="1" applyFont="1" applyFill="1" applyBorder="1" applyAlignment="1" applyProtection="1">
      <alignment horizontal="center"/>
      <protection locked="0"/>
    </xf>
    <xf numFmtId="0" fontId="8" fillId="0" borderId="12" xfId="0" applyFont="1" applyFill="1" applyBorder="1" applyAlignment="1" applyProtection="1">
      <alignment horizontal="left"/>
      <protection locked="0"/>
    </xf>
    <xf numFmtId="167" fontId="8" fillId="0" borderId="12" xfId="0" applyNumberFormat="1" applyFont="1" applyFill="1" applyBorder="1" applyProtection="1">
      <protection locked="0"/>
    </xf>
    <xf numFmtId="0" fontId="8" fillId="0" borderId="13" xfId="0" applyFont="1" applyBorder="1" applyProtection="1">
      <protection locked="0"/>
    </xf>
    <xf numFmtId="15" fontId="9" fillId="0" borderId="18" xfId="0" quotePrefix="1" applyNumberFormat="1" applyFont="1" applyFill="1" applyBorder="1" applyAlignment="1" applyProtection="1">
      <alignment horizontal="left"/>
      <protection locked="0"/>
    </xf>
    <xf numFmtId="0" fontId="9" fillId="0" borderId="14" xfId="0" applyFont="1" applyFill="1" applyBorder="1" applyAlignment="1" applyProtection="1">
      <alignment horizontal="left"/>
      <protection locked="0"/>
    </xf>
    <xf numFmtId="167" fontId="9" fillId="0" borderId="14" xfId="0" applyNumberFormat="1" applyFont="1" applyFill="1" applyBorder="1" applyProtection="1">
      <protection locked="0"/>
    </xf>
    <xf numFmtId="167" fontId="8" fillId="0" borderId="14" xfId="0" applyNumberFormat="1" applyFont="1" applyFill="1" applyBorder="1" applyProtection="1">
      <protection locked="0"/>
    </xf>
    <xf numFmtId="167" fontId="9" fillId="0" borderId="0" xfId="0" quotePrefix="1" applyNumberFormat="1" applyFont="1" applyFill="1" applyBorder="1" applyAlignment="1" applyProtection="1">
      <alignment horizontal="left"/>
      <protection locked="0"/>
    </xf>
    <xf numFmtId="15" fontId="19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5" xfId="0" applyFont="1" applyFill="1" applyBorder="1" applyAlignment="1" applyProtection="1">
      <alignment horizontal="center" vertical="center" wrapText="1"/>
      <protection locked="0"/>
    </xf>
    <xf numFmtId="171" fontId="19" fillId="3" borderId="2" xfId="3" applyNumberFormat="1" applyFont="1" applyFill="1" applyBorder="1" applyAlignment="1" applyProtection="1">
      <alignment horizontal="center" vertical="center"/>
      <protection locked="0"/>
    </xf>
    <xf numFmtId="167" fontId="19" fillId="3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Alignment="1" applyProtection="1">
      <alignment horizontal="center"/>
      <protection locked="0"/>
    </xf>
    <xf numFmtId="15" fontId="9" fillId="0" borderId="4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 applyAlignment="1" applyProtection="1">
      <alignment horizontal="left"/>
      <protection locked="0"/>
    </xf>
    <xf numFmtId="167" fontId="9" fillId="0" borderId="9" xfId="0" applyNumberFormat="1" applyFont="1" applyFill="1" applyBorder="1" applyProtection="1">
      <protection locked="0"/>
    </xf>
    <xf numFmtId="167" fontId="9" fillId="0" borderId="9" xfId="0" applyNumberFormat="1" applyFont="1" applyFill="1" applyBorder="1" applyAlignment="1" applyProtection="1">
      <alignment horizontal="right"/>
      <protection locked="0"/>
    </xf>
    <xf numFmtId="167" fontId="9" fillId="0" borderId="0" xfId="0" applyNumberFormat="1" applyFont="1" applyFill="1" applyBorder="1" applyAlignment="1" applyProtection="1">
      <alignment horizontal="right"/>
      <protection locked="0"/>
    </xf>
    <xf numFmtId="167" fontId="9" fillId="0" borderId="7" xfId="0" applyNumberFormat="1" applyFont="1" applyFill="1" applyBorder="1" applyAlignment="1" applyProtection="1">
      <alignment horizontal="right"/>
      <protection locked="0"/>
    </xf>
    <xf numFmtId="15" fontId="19" fillId="3" borderId="2" xfId="0" applyNumberFormat="1" applyFont="1" applyFill="1" applyBorder="1" applyAlignment="1" applyProtection="1">
      <alignment horizontal="center"/>
      <protection locked="0"/>
    </xf>
    <xf numFmtId="0" fontId="19" fillId="3" borderId="2" xfId="0" quotePrefix="1" applyFont="1" applyFill="1" applyBorder="1" applyAlignment="1" applyProtection="1">
      <alignment horizontal="center"/>
      <protection locked="0"/>
    </xf>
    <xf numFmtId="167" fontId="19" fillId="3" borderId="2" xfId="0" applyNumberFormat="1" applyFont="1" applyFill="1" applyBorder="1" applyProtection="1">
      <protection locked="0"/>
    </xf>
    <xf numFmtId="167" fontId="8" fillId="8" borderId="2" xfId="0" applyNumberFormat="1" applyFont="1" applyFill="1" applyBorder="1" applyProtection="1">
      <protection locked="0"/>
    </xf>
    <xf numFmtId="167" fontId="19" fillId="3" borderId="2" xfId="0" applyNumberFormat="1" applyFont="1" applyFill="1" applyBorder="1" applyAlignment="1" applyProtection="1">
      <alignment horizontal="right"/>
      <protection locked="0"/>
    </xf>
    <xf numFmtId="0" fontId="19" fillId="3" borderId="2" xfId="0" applyFont="1" applyFill="1" applyBorder="1" applyAlignment="1" applyProtection="1">
      <alignment horizontal="center"/>
      <protection locked="0"/>
    </xf>
    <xf numFmtId="0" fontId="19" fillId="3" borderId="2" xfId="0" applyFont="1" applyFill="1" applyBorder="1" applyAlignment="1" applyProtection="1">
      <alignment horizontal="left"/>
      <protection locked="0"/>
    </xf>
    <xf numFmtId="167" fontId="20" fillId="3" borderId="2" xfId="0" applyNumberFormat="1" applyFont="1" applyFill="1" applyBorder="1" applyProtection="1">
      <protection locked="0"/>
    </xf>
    <xf numFmtId="167" fontId="21" fillId="3" borderId="2" xfId="0" applyNumberFormat="1" applyFont="1" applyFill="1" applyBorder="1" applyProtection="1">
      <protection locked="0"/>
    </xf>
    <xf numFmtId="0" fontId="8" fillId="2" borderId="2" xfId="0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Protection="1">
      <protection locked="0"/>
    </xf>
    <xf numFmtId="0" fontId="9" fillId="2" borderId="0" xfId="0" applyFont="1" applyFill="1" applyProtection="1">
      <protection locked="0"/>
    </xf>
    <xf numFmtId="0" fontId="9" fillId="2" borderId="2" xfId="0" applyNumberFormat="1" applyFont="1" applyFill="1" applyBorder="1" applyAlignment="1" applyProtection="1">
      <alignment horizontal="center"/>
      <protection locked="0"/>
    </xf>
    <xf numFmtId="167" fontId="8" fillId="2" borderId="0" xfId="0" applyNumberFormat="1" applyFont="1" applyFill="1" applyProtection="1">
      <protection locked="0"/>
    </xf>
    <xf numFmtId="0" fontId="8" fillId="0" borderId="2" xfId="0" applyNumberFormat="1" applyFont="1" applyFill="1" applyBorder="1" applyAlignment="1" applyProtection="1">
      <alignment horizontal="center"/>
      <protection locked="0"/>
    </xf>
    <xf numFmtId="167" fontId="9" fillId="0" borderId="2" xfId="0" applyNumberFormat="1" applyFont="1" applyFill="1" applyBorder="1" applyProtection="1">
      <protection locked="0"/>
    </xf>
    <xf numFmtId="0" fontId="23" fillId="0" borderId="0" xfId="0" applyFont="1" applyFill="1" applyProtection="1">
      <protection locked="0"/>
    </xf>
    <xf numFmtId="0" fontId="9" fillId="4" borderId="2" xfId="0" applyFont="1" applyFill="1" applyBorder="1" applyAlignment="1" applyProtection="1">
      <alignment horizontal="left"/>
      <protection locked="0"/>
    </xf>
    <xf numFmtId="0" fontId="9" fillId="0" borderId="0" xfId="0" applyFont="1" applyFill="1" applyBorder="1" applyAlignment="1" applyProtection="1">
      <alignment horizontal="left"/>
      <protection locked="0"/>
    </xf>
    <xf numFmtId="15" fontId="24" fillId="4" borderId="2" xfId="0" applyNumberFormat="1" applyFont="1" applyFill="1" applyBorder="1" applyAlignment="1" applyProtection="1">
      <alignment horizontal="center"/>
      <protection locked="0"/>
    </xf>
    <xf numFmtId="167" fontId="8" fillId="0" borderId="2" xfId="0" applyNumberFormat="1" applyFont="1" applyFill="1" applyBorder="1" applyProtection="1">
      <protection locked="0"/>
    </xf>
    <xf numFmtId="0" fontId="26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68" fontId="24" fillId="4" borderId="2" xfId="0" applyNumberFormat="1" applyFont="1" applyFill="1" applyBorder="1" applyAlignment="1" applyProtection="1">
      <alignment horizontal="left"/>
      <protection locked="0"/>
    </xf>
    <xf numFmtId="167" fontId="8" fillId="0" borderId="10" xfId="0" applyNumberFormat="1" applyFont="1" applyFill="1" applyBorder="1" applyProtection="1">
      <protection locked="0"/>
    </xf>
    <xf numFmtId="0" fontId="8" fillId="0" borderId="0" xfId="0" applyFont="1" applyBorder="1" applyProtection="1">
      <protection locked="0"/>
    </xf>
    <xf numFmtId="0" fontId="9" fillId="0" borderId="0" xfId="0" quotePrefix="1" applyNumberFormat="1" applyFont="1" applyFill="1" applyBorder="1" applyAlignment="1" applyProtection="1">
      <alignment horizontal="center"/>
      <protection locked="0"/>
    </xf>
    <xf numFmtId="167" fontId="9" fillId="0" borderId="0" xfId="0" applyNumberFormat="1" applyFont="1" applyFill="1" applyBorder="1" applyAlignment="1" applyProtection="1">
      <alignment horizontal="center"/>
      <protection locked="0"/>
    </xf>
    <xf numFmtId="1" fontId="9" fillId="0" borderId="0" xfId="0" applyNumberFormat="1" applyFont="1" applyFill="1" applyBorder="1" applyAlignment="1" applyProtection="1">
      <alignment horizontal="center"/>
      <protection locked="0"/>
    </xf>
    <xf numFmtId="0" fontId="9" fillId="0" borderId="2" xfId="0" applyFont="1" applyFill="1" applyBorder="1" applyAlignment="1" applyProtection="1">
      <alignment horizontal="left"/>
      <protection locked="0"/>
    </xf>
    <xf numFmtId="167" fontId="9" fillId="0" borderId="2" xfId="0" applyNumberFormat="1" applyFont="1" applyFill="1" applyBorder="1" applyAlignment="1" applyProtection="1">
      <alignment horizontal="center"/>
      <protection locked="0"/>
    </xf>
    <xf numFmtId="167" fontId="9" fillId="0" borderId="16" xfId="0" applyNumberFormat="1" applyFont="1" applyFill="1" applyBorder="1" applyAlignment="1" applyProtection="1">
      <alignment horizontal="center"/>
      <protection locked="0"/>
    </xf>
    <xf numFmtId="167" fontId="9" fillId="0" borderId="1" xfId="0" applyNumberFormat="1" applyFont="1" applyFill="1" applyBorder="1" applyAlignment="1" applyProtection="1">
      <alignment horizontal="center"/>
      <protection locked="0"/>
    </xf>
    <xf numFmtId="167" fontId="9" fillId="0" borderId="3" xfId="0" applyNumberFormat="1" applyFont="1" applyFill="1" applyBorder="1" applyProtection="1">
      <protection locked="0"/>
    </xf>
    <xf numFmtId="0" fontId="8" fillId="0" borderId="2" xfId="0" applyFont="1" applyFill="1" applyBorder="1" applyAlignment="1" applyProtection="1">
      <alignment horizontal="left"/>
      <protection locked="0"/>
    </xf>
    <xf numFmtId="167" fontId="8" fillId="0" borderId="3" xfId="0" applyNumberFormat="1" applyFont="1" applyFill="1" applyBorder="1" applyProtection="1">
      <protection locked="0"/>
    </xf>
    <xf numFmtId="167" fontId="9" fillId="4" borderId="2" xfId="0" applyNumberFormat="1" applyFont="1" applyFill="1" applyBorder="1" applyProtection="1">
      <protection locked="0"/>
    </xf>
    <xf numFmtId="167" fontId="20" fillId="7" borderId="2" xfId="0" applyNumberFormat="1" applyFont="1" applyFill="1" applyBorder="1" applyAlignment="1" applyProtection="1">
      <alignment horizontal="center"/>
      <protection locked="0"/>
    </xf>
    <xf numFmtId="167" fontId="9" fillId="4" borderId="2" xfId="0" applyNumberFormat="1" applyFont="1" applyFill="1" applyBorder="1" applyAlignment="1" applyProtection="1">
      <alignment horizontal="right"/>
      <protection locked="0"/>
    </xf>
    <xf numFmtId="0" fontId="8" fillId="0" borderId="1" xfId="0" applyFont="1" applyFill="1" applyBorder="1" applyAlignment="1" applyProtection="1">
      <alignment horizontal="left"/>
      <protection locked="0"/>
    </xf>
    <xf numFmtId="167" fontId="27" fillId="2" borderId="1" xfId="0" applyNumberFormat="1" applyFont="1" applyFill="1" applyBorder="1" applyProtection="1">
      <protection locked="0"/>
    </xf>
    <xf numFmtId="167" fontId="8" fillId="0" borderId="1" xfId="0" applyNumberFormat="1" applyFont="1" applyFill="1" applyBorder="1" applyProtection="1">
      <protection locked="0"/>
    </xf>
    <xf numFmtId="1" fontId="9" fillId="0" borderId="9" xfId="0" applyNumberFormat="1" applyFont="1" applyFill="1" applyBorder="1" applyProtection="1">
      <protection locked="0"/>
    </xf>
    <xf numFmtId="1" fontId="9" fillId="0" borderId="0" xfId="0" applyNumberFormat="1" applyFont="1" applyFill="1" applyBorder="1" applyProtection="1">
      <protection locked="0"/>
    </xf>
    <xf numFmtId="15" fontId="8" fillId="0" borderId="0" xfId="0" applyNumberFormat="1" applyFont="1" applyFill="1" applyAlignment="1" applyProtection="1">
      <alignment horizontal="center"/>
      <protection locked="0"/>
    </xf>
    <xf numFmtId="0" fontId="8" fillId="0" borderId="0" xfId="0" applyFont="1" applyFill="1" applyAlignment="1" applyProtection="1">
      <alignment horizontal="left"/>
      <protection locked="0"/>
    </xf>
    <xf numFmtId="167" fontId="8" fillId="0" borderId="0" xfId="0" applyNumberFormat="1" applyFont="1" applyFill="1" applyProtection="1">
      <protection locked="0"/>
    </xf>
    <xf numFmtId="0" fontId="8" fillId="0" borderId="0" xfId="0" applyFont="1" applyProtection="1">
      <protection locked="0"/>
    </xf>
    <xf numFmtId="15" fontId="30" fillId="0" borderId="0" xfId="0" applyNumberFormat="1" applyFont="1" applyFill="1" applyAlignment="1" applyProtection="1">
      <alignment horizontal="center"/>
      <protection locked="0"/>
    </xf>
    <xf numFmtId="15" fontId="24" fillId="6" borderId="2" xfId="0" applyNumberFormat="1" applyFont="1" applyFill="1" applyBorder="1" applyAlignment="1" applyProtection="1">
      <alignment horizontal="center"/>
      <protection locked="0"/>
    </xf>
    <xf numFmtId="0" fontId="24" fillId="6" borderId="2" xfId="0" applyFont="1" applyFill="1" applyBorder="1" applyAlignment="1" applyProtection="1">
      <alignment horizontal="left"/>
      <protection locked="0"/>
    </xf>
    <xf numFmtId="0" fontId="33" fillId="3" borderId="13" xfId="0" applyFont="1" applyFill="1" applyBorder="1" applyAlignment="1" applyProtection="1">
      <alignment horizontal="center" vertical="center" wrapText="1"/>
      <protection locked="0"/>
    </xf>
    <xf numFmtId="0" fontId="6" fillId="9" borderId="0" xfId="0" applyFont="1" applyFill="1"/>
    <xf numFmtId="0" fontId="6" fillId="9" borderId="0" xfId="0" applyFont="1" applyFill="1" applyAlignment="1">
      <alignment horizontal="center"/>
    </xf>
    <xf numFmtId="0" fontId="6" fillId="9" borderId="0" xfId="0" applyFont="1" applyFill="1" applyBorder="1"/>
    <xf numFmtId="0" fontId="8" fillId="9" borderId="0" xfId="0" applyFont="1" applyFill="1" applyProtection="1"/>
    <xf numFmtId="171" fontId="19" fillId="3" borderId="2" xfId="3" applyNumberFormat="1" applyFont="1" applyFill="1" applyBorder="1" applyAlignment="1" applyProtection="1">
      <alignment horizontal="center" vertical="center"/>
    </xf>
    <xf numFmtId="167" fontId="19" fillId="3" borderId="2" xfId="0" applyNumberFormat="1" applyFont="1" applyFill="1" applyBorder="1" applyAlignment="1" applyProtection="1">
      <alignment horizontal="center" vertical="center"/>
    </xf>
    <xf numFmtId="0" fontId="9" fillId="9" borderId="0" xfId="0" applyFont="1" applyFill="1" applyProtection="1"/>
    <xf numFmtId="43" fontId="8" fillId="9" borderId="0" xfId="0" applyNumberFormat="1" applyFont="1" applyFill="1" applyProtection="1"/>
    <xf numFmtId="0" fontId="8" fillId="9" borderId="0" xfId="0" applyFont="1" applyFill="1" applyAlignment="1" applyProtection="1">
      <alignment horizontal="center"/>
    </xf>
    <xf numFmtId="0" fontId="6" fillId="9" borderId="0" xfId="0" applyFont="1" applyFill="1" applyProtection="1"/>
    <xf numFmtId="0" fontId="8" fillId="2" borderId="2" xfId="0" applyFont="1" applyFill="1" applyBorder="1" applyAlignment="1" applyProtection="1">
      <alignment horizontal="left"/>
      <protection locked="0"/>
    </xf>
    <xf numFmtId="0" fontId="8" fillId="6" borderId="2" xfId="0" applyFont="1" applyFill="1" applyBorder="1" applyAlignment="1" applyProtection="1">
      <alignment horizontal="left"/>
      <protection locked="0"/>
    </xf>
    <xf numFmtId="0" fontId="9" fillId="2" borderId="2" xfId="0" applyFont="1" applyFill="1" applyBorder="1" applyAlignment="1" applyProtection="1">
      <alignment horizontal="left"/>
      <protection locked="0"/>
    </xf>
    <xf numFmtId="0" fontId="34" fillId="0" borderId="2" xfId="0" applyFont="1" applyFill="1" applyBorder="1" applyAlignment="1" applyProtection="1">
      <alignment horizontal="left"/>
      <protection locked="0"/>
    </xf>
    <xf numFmtId="15" fontId="7" fillId="4" borderId="2" xfId="0" applyNumberFormat="1" applyFont="1" applyFill="1" applyBorder="1" applyAlignment="1" applyProtection="1">
      <alignment horizontal="center"/>
      <protection locked="0"/>
    </xf>
    <xf numFmtId="15" fontId="6" fillId="0" borderId="0" xfId="0" applyNumberFormat="1" applyFont="1" applyFill="1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left"/>
      <protection locked="0"/>
    </xf>
    <xf numFmtId="167" fontId="6" fillId="0" borderId="0" xfId="0" applyNumberFormat="1" applyFont="1" applyFill="1" applyProtection="1">
      <protection locked="0"/>
    </xf>
    <xf numFmtId="0" fontId="6" fillId="0" borderId="0" xfId="0" applyFont="1" applyFill="1" applyProtection="1">
      <protection locked="0"/>
    </xf>
    <xf numFmtId="0" fontId="6" fillId="0" borderId="0" xfId="0" applyFont="1" applyProtection="1">
      <protection locked="0"/>
    </xf>
    <xf numFmtId="15" fontId="6" fillId="0" borderId="4" xfId="0" applyNumberFormat="1" applyFont="1" applyFill="1" applyBorder="1" applyAlignment="1" applyProtection="1">
      <alignment horizontal="center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167" fontId="6" fillId="0" borderId="9" xfId="0" applyNumberFormat="1" applyFont="1" applyFill="1" applyBorder="1" applyProtection="1">
      <protection locked="0"/>
    </xf>
    <xf numFmtId="167" fontId="6" fillId="0" borderId="10" xfId="0" applyNumberFormat="1" applyFont="1" applyFill="1" applyBorder="1" applyProtection="1">
      <protection locked="0"/>
    </xf>
    <xf numFmtId="0" fontId="6" fillId="0" borderId="0" xfId="0" applyFont="1" applyFill="1" applyBorder="1" applyProtection="1">
      <protection locked="0"/>
    </xf>
    <xf numFmtId="15" fontId="6" fillId="0" borderId="5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left"/>
      <protection locked="0"/>
    </xf>
    <xf numFmtId="167" fontId="7" fillId="0" borderId="0" xfId="0" applyNumberFormat="1" applyFont="1" applyFill="1" applyBorder="1" applyProtection="1">
      <protection locked="0"/>
    </xf>
    <xf numFmtId="167" fontId="6" fillId="0" borderId="7" xfId="0" applyNumberFormat="1" applyFont="1" applyFill="1" applyBorder="1" applyProtection="1">
      <protection locked="0"/>
    </xf>
    <xf numFmtId="167" fontId="6" fillId="0" borderId="0" xfId="0" applyNumberFormat="1" applyFont="1" applyFill="1" applyBorder="1" applyProtection="1">
      <protection locked="0"/>
    </xf>
    <xf numFmtId="167" fontId="6" fillId="0" borderId="0" xfId="0" quotePrefix="1" applyNumberFormat="1" applyFont="1" applyFill="1" applyBorder="1" applyAlignment="1" applyProtection="1">
      <alignment horizontal="left"/>
      <protection locked="0"/>
    </xf>
    <xf numFmtId="167" fontId="7" fillId="0" borderId="0" xfId="0" quotePrefix="1" applyNumberFormat="1" applyFont="1" applyFill="1" applyBorder="1" applyAlignment="1" applyProtection="1">
      <alignment horizontal="center"/>
      <protection locked="0"/>
    </xf>
    <xf numFmtId="167" fontId="7" fillId="0" borderId="0" xfId="0" quotePrefix="1" applyNumberFormat="1" applyFont="1" applyFill="1" applyBorder="1" applyAlignment="1" applyProtection="1">
      <alignment horizontal="right"/>
      <protection locked="0"/>
    </xf>
    <xf numFmtId="15" fontId="6" fillId="0" borderId="11" xfId="0" applyNumberFormat="1" applyFont="1" applyFill="1" applyBorder="1" applyAlignment="1" applyProtection="1">
      <alignment horizontal="center"/>
      <protection locked="0"/>
    </xf>
    <xf numFmtId="0" fontId="6" fillId="0" borderId="12" xfId="0" applyFont="1" applyFill="1" applyBorder="1" applyAlignment="1" applyProtection="1">
      <alignment horizontal="left"/>
      <protection locked="0"/>
    </xf>
    <xf numFmtId="167" fontId="6" fillId="0" borderId="12" xfId="0" applyNumberFormat="1" applyFont="1" applyFill="1" applyBorder="1" applyProtection="1">
      <protection locked="0"/>
    </xf>
    <xf numFmtId="167" fontId="6" fillId="0" borderId="13" xfId="0" applyNumberFormat="1" applyFont="1" applyFill="1" applyBorder="1" applyProtection="1">
      <protection locked="0"/>
    </xf>
    <xf numFmtId="15" fontId="7" fillId="0" borderId="18" xfId="0" quotePrefix="1" applyNumberFormat="1" applyFont="1" applyFill="1" applyBorder="1" applyAlignment="1" applyProtection="1">
      <alignment horizontal="left"/>
      <protection locked="0"/>
    </xf>
    <xf numFmtId="0" fontId="7" fillId="0" borderId="14" xfId="0" applyFont="1" applyFill="1" applyBorder="1" applyAlignment="1" applyProtection="1">
      <alignment horizontal="left"/>
      <protection locked="0"/>
    </xf>
    <xf numFmtId="167" fontId="7" fillId="0" borderId="14" xfId="0" applyNumberFormat="1" applyFont="1" applyFill="1" applyBorder="1" applyProtection="1">
      <protection locked="0"/>
    </xf>
    <xf numFmtId="167" fontId="6" fillId="0" borderId="14" xfId="0" applyNumberFormat="1" applyFont="1" applyFill="1" applyBorder="1" applyProtection="1">
      <protection locked="0"/>
    </xf>
    <xf numFmtId="167" fontId="6" fillId="0" borderId="15" xfId="0" applyNumberFormat="1" applyFont="1" applyFill="1" applyBorder="1" applyProtection="1">
      <protection locked="0"/>
    </xf>
    <xf numFmtId="15" fontId="10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3" borderId="13" xfId="0" applyFont="1" applyFill="1" applyBorder="1" applyAlignment="1" applyProtection="1">
      <alignment horizontal="center" vertical="center" wrapText="1"/>
      <protection locked="0"/>
    </xf>
    <xf numFmtId="0" fontId="10" fillId="3" borderId="1" xfId="0" applyFont="1" applyFill="1" applyBorder="1" applyAlignment="1" applyProtection="1">
      <alignment horizontal="center" vertical="center" wrapText="1"/>
      <protection locked="0"/>
    </xf>
    <xf numFmtId="0" fontId="10" fillId="3" borderId="5" xfId="0" applyFont="1" applyFill="1" applyBorder="1" applyAlignment="1" applyProtection="1">
      <alignment horizontal="center" vertical="center" wrapText="1"/>
      <protection locked="0"/>
    </xf>
    <xf numFmtId="170" fontId="10" fillId="3" borderId="2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15" fontId="7" fillId="0" borderId="6" xfId="0" applyNumberFormat="1" applyFont="1" applyFill="1" applyBorder="1" applyAlignment="1" applyProtection="1">
      <alignment horizontal="center"/>
      <protection locked="0"/>
    </xf>
    <xf numFmtId="167" fontId="7" fillId="0" borderId="9" xfId="0" applyNumberFormat="1" applyFont="1" applyFill="1" applyBorder="1" applyProtection="1">
      <protection locked="0"/>
    </xf>
    <xf numFmtId="167" fontId="7" fillId="0" borderId="9" xfId="0" applyNumberFormat="1" applyFont="1" applyFill="1" applyBorder="1" applyAlignment="1" applyProtection="1">
      <alignment horizontal="right"/>
      <protection locked="0"/>
    </xf>
    <xf numFmtId="167" fontId="7" fillId="0" borderId="10" xfId="0" applyNumberFormat="1" applyFont="1" applyFill="1" applyBorder="1" applyAlignment="1" applyProtection="1">
      <alignment horizontal="right"/>
      <protection locked="0"/>
    </xf>
    <xf numFmtId="15" fontId="10" fillId="3" borderId="2" xfId="0" applyNumberFormat="1" applyFont="1" applyFill="1" applyBorder="1" applyAlignment="1" applyProtection="1">
      <alignment horizontal="center"/>
      <protection locked="0"/>
    </xf>
    <xf numFmtId="0" fontId="10" fillId="3" borderId="2" xfId="0" quotePrefix="1" applyFont="1" applyFill="1" applyBorder="1" applyAlignment="1" applyProtection="1">
      <alignment horizontal="center"/>
      <protection locked="0"/>
    </xf>
    <xf numFmtId="167" fontId="10" fillId="3" borderId="2" xfId="0" applyNumberFormat="1" applyFont="1" applyFill="1" applyBorder="1" applyProtection="1">
      <protection locked="0"/>
    </xf>
    <xf numFmtId="166" fontId="10" fillId="3" borderId="2" xfId="0" applyNumberFormat="1" applyFont="1" applyFill="1" applyBorder="1" applyProtection="1">
      <protection locked="0"/>
    </xf>
    <xf numFmtId="170" fontId="10" fillId="3" borderId="2" xfId="0" applyNumberFormat="1" applyFont="1" applyFill="1" applyBorder="1" applyAlignment="1" applyProtection="1">
      <alignment horizontal="right"/>
      <protection locked="0"/>
    </xf>
    <xf numFmtId="0" fontId="10" fillId="3" borderId="2" xfId="0" applyFont="1" applyFill="1" applyBorder="1" applyAlignment="1" applyProtection="1">
      <alignment horizontal="center"/>
      <protection locked="0"/>
    </xf>
    <xf numFmtId="0" fontId="10" fillId="3" borderId="2" xfId="0" applyFont="1" applyFill="1" applyBorder="1" applyAlignment="1" applyProtection="1">
      <alignment horizontal="left"/>
      <protection locked="0"/>
    </xf>
    <xf numFmtId="167" fontId="11" fillId="3" borderId="2" xfId="0" applyNumberFormat="1" applyFont="1" applyFill="1" applyBorder="1" applyProtection="1">
      <protection locked="0"/>
    </xf>
    <xf numFmtId="15" fontId="6" fillId="0" borderId="2" xfId="0" applyNumberFormat="1" applyFont="1" applyFill="1" applyBorder="1" applyAlignment="1" applyProtection="1">
      <alignment horizontal="center"/>
      <protection locked="0"/>
    </xf>
    <xf numFmtId="0" fontId="6" fillId="2" borderId="2" xfId="0" applyFont="1" applyFill="1" applyBorder="1" applyAlignment="1" applyProtection="1">
      <alignment horizontal="left"/>
      <protection locked="0"/>
    </xf>
    <xf numFmtId="167" fontId="6" fillId="0" borderId="2" xfId="0" applyNumberFormat="1" applyFont="1" applyFill="1" applyBorder="1" applyProtection="1">
      <protection locked="0"/>
    </xf>
    <xf numFmtId="0" fontId="6" fillId="0" borderId="2" xfId="0" applyNumberFormat="1" applyFont="1" applyFill="1" applyBorder="1" applyAlignment="1" applyProtection="1">
      <alignment horizontal="center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167" fontId="6" fillId="6" borderId="2" xfId="0" applyNumberFormat="1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Protection="1">
      <protection locked="0"/>
    </xf>
    <xf numFmtId="15" fontId="7" fillId="0" borderId="2" xfId="0" applyNumberFormat="1" applyFont="1" applyFill="1" applyBorder="1" applyAlignment="1" applyProtection="1">
      <alignment horizontal="center"/>
      <protection locked="0"/>
    </xf>
    <xf numFmtId="167" fontId="7" fillId="0" borderId="2" xfId="0" applyNumberFormat="1" applyFont="1" applyFill="1" applyBorder="1" applyProtection="1">
      <protection locked="0"/>
    </xf>
    <xf numFmtId="166" fontId="7" fillId="0" borderId="2" xfId="0" applyNumberFormat="1" applyFont="1" applyFill="1" applyBorder="1" applyProtection="1">
      <protection locked="0"/>
    </xf>
    <xf numFmtId="2" fontId="7" fillId="0" borderId="2" xfId="0" applyNumberFormat="1" applyFont="1" applyFill="1" applyBorder="1" applyAlignment="1" applyProtection="1">
      <alignment horizontal="center"/>
      <protection locked="0"/>
    </xf>
    <xf numFmtId="167" fontId="7" fillId="6" borderId="2" xfId="0" applyNumberFormat="1" applyFont="1" applyFill="1" applyBorder="1" applyProtection="1">
      <protection locked="0"/>
    </xf>
    <xf numFmtId="0" fontId="6" fillId="0" borderId="2" xfId="0" applyFont="1" applyFill="1" applyBorder="1" applyAlignment="1" applyProtection="1">
      <alignment horizontal="left"/>
      <protection locked="0"/>
    </xf>
    <xf numFmtId="167" fontId="6" fillId="2" borderId="2" xfId="0" applyNumberFormat="1" applyFont="1" applyFill="1" applyBorder="1" applyProtection="1">
      <protection locked="0"/>
    </xf>
    <xf numFmtId="0" fontId="7" fillId="4" borderId="2" xfId="0" quotePrefix="1" applyFont="1" applyFill="1" applyBorder="1" applyAlignment="1" applyProtection="1">
      <alignment horizontal="center"/>
      <protection locked="0"/>
    </xf>
    <xf numFmtId="166" fontId="7" fillId="4" borderId="2" xfId="0" quotePrefix="1" applyNumberFormat="1" applyFont="1" applyFill="1" applyBorder="1" applyAlignment="1" applyProtection="1">
      <alignment horizontal="right"/>
      <protection locked="0"/>
    </xf>
    <xf numFmtId="166" fontId="7" fillId="4" borderId="2" xfId="0" quotePrefix="1" applyNumberFormat="1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Protection="1">
      <protection locked="0"/>
    </xf>
    <xf numFmtId="0" fontId="13" fillId="0" borderId="0" xfId="0" applyFont="1" applyProtection="1">
      <protection locked="0"/>
    </xf>
    <xf numFmtId="166" fontId="11" fillId="0" borderId="2" xfId="0" applyNumberFormat="1" applyFont="1" applyFill="1" applyBorder="1" applyProtection="1">
      <protection locked="0"/>
    </xf>
    <xf numFmtId="43" fontId="14" fillId="0" borderId="2" xfId="0" applyNumberFormat="1" applyFont="1" applyFill="1" applyBorder="1" applyProtection="1">
      <protection locked="0"/>
    </xf>
    <xf numFmtId="0" fontId="6" fillId="2" borderId="0" xfId="0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0" fontId="6" fillId="0" borderId="0" xfId="0" applyFont="1" applyBorder="1" applyProtection="1">
      <protection locked="0"/>
    </xf>
    <xf numFmtId="15" fontId="15" fillId="4" borderId="2" xfId="0" applyNumberFormat="1" applyFont="1" applyFill="1" applyBorder="1" applyAlignment="1" applyProtection="1">
      <alignment horizontal="center"/>
      <protection locked="0"/>
    </xf>
    <xf numFmtId="168" fontId="15" fillId="4" borderId="2" xfId="0" applyNumberFormat="1" applyFont="1" applyFill="1" applyBorder="1" applyAlignment="1" applyProtection="1">
      <alignment horizontal="left"/>
      <protection locked="0"/>
    </xf>
    <xf numFmtId="166" fontId="15" fillId="4" borderId="2" xfId="0" applyNumberFormat="1" applyFont="1" applyFill="1" applyBorder="1" applyProtection="1">
      <protection locked="0"/>
    </xf>
    <xf numFmtId="166" fontId="16" fillId="4" borderId="2" xfId="0" applyNumberFormat="1" applyFont="1" applyFill="1" applyBorder="1" applyProtection="1">
      <protection locked="0"/>
    </xf>
    <xf numFmtId="164" fontId="6" fillId="0" borderId="0" xfId="3" applyFont="1" applyFill="1" applyBorder="1" applyAlignment="1" applyProtection="1">
      <alignment horizontal="left"/>
      <protection locked="0"/>
    </xf>
    <xf numFmtId="167" fontId="7" fillId="0" borderId="0" xfId="0" applyNumberFormat="1" applyFont="1" applyFill="1" applyBorder="1" applyAlignment="1" applyProtection="1">
      <alignment horizontal="center"/>
      <protection locked="0"/>
    </xf>
    <xf numFmtId="1" fontId="7" fillId="0" borderId="0" xfId="0" applyNumberFormat="1" applyFont="1" applyFill="1" applyBorder="1" applyAlignment="1" applyProtection="1">
      <alignment horizontal="center"/>
      <protection locked="0"/>
    </xf>
    <xf numFmtId="49" fontId="7" fillId="0" borderId="7" xfId="2" applyNumberFormat="1" applyFont="1" applyFill="1" applyBorder="1" applyAlignment="1" applyProtection="1">
      <alignment horizontal="center"/>
      <protection locked="0"/>
    </xf>
    <xf numFmtId="0" fontId="17" fillId="0" borderId="7" xfId="0" applyFont="1" applyBorder="1" applyAlignment="1" applyProtection="1">
      <alignment horizontal="center"/>
      <protection locked="0"/>
    </xf>
    <xf numFmtId="0" fontId="7" fillId="0" borderId="2" xfId="0" applyFont="1" applyFill="1" applyBorder="1" applyAlignment="1" applyProtection="1">
      <alignment horizontal="left"/>
      <protection locked="0"/>
    </xf>
    <xf numFmtId="170" fontId="7" fillId="0" borderId="2" xfId="0" applyNumberFormat="1" applyFont="1" applyFill="1" applyBorder="1" applyAlignment="1" applyProtection="1">
      <alignment horizontal="center"/>
      <protection locked="0"/>
    </xf>
    <xf numFmtId="166" fontId="7" fillId="4" borderId="2" xfId="0" applyNumberFormat="1" applyFont="1" applyFill="1" applyBorder="1" applyProtection="1">
      <protection locked="0"/>
    </xf>
    <xf numFmtId="166" fontId="10" fillId="7" borderId="2" xfId="0" applyNumberFormat="1" applyFont="1" applyFill="1" applyBorder="1" applyAlignment="1" applyProtection="1">
      <alignment horizontal="right"/>
      <protection locked="0"/>
    </xf>
    <xf numFmtId="166" fontId="7" fillId="4" borderId="2" xfId="0" applyNumberFormat="1" applyFont="1" applyFill="1" applyBorder="1" applyAlignment="1" applyProtection="1">
      <alignment horizontal="right"/>
      <protection locked="0"/>
    </xf>
    <xf numFmtId="167" fontId="18" fillId="2" borderId="2" xfId="0" applyNumberFormat="1" applyFont="1" applyFill="1" applyBorder="1" applyProtection="1">
      <protection locked="0"/>
    </xf>
    <xf numFmtId="0" fontId="31" fillId="2" borderId="0" xfId="0" applyFont="1" applyFill="1" applyBorder="1" applyAlignment="1" applyProtection="1">
      <alignment horizontal="left"/>
      <protection locked="0"/>
    </xf>
    <xf numFmtId="167" fontId="31" fillId="2" borderId="0" xfId="0" applyNumberFormat="1" applyFont="1" applyFill="1" applyBorder="1" applyProtection="1">
      <protection locked="0"/>
    </xf>
    <xf numFmtId="167" fontId="6" fillId="2" borderId="0" xfId="0" applyNumberFormat="1" applyFont="1" applyFill="1" applyBorder="1" applyProtection="1">
      <protection locked="0"/>
    </xf>
    <xf numFmtId="0" fontId="30" fillId="0" borderId="0" xfId="0" applyFont="1" applyFill="1" applyAlignment="1" applyProtection="1">
      <alignment horizontal="left"/>
      <protection locked="0"/>
    </xf>
    <xf numFmtId="167" fontId="30" fillId="0" borderId="0" xfId="0" applyNumberFormat="1" applyFont="1" applyFill="1" applyProtection="1">
      <protection locked="0"/>
    </xf>
    <xf numFmtId="0" fontId="35" fillId="11" borderId="19" xfId="0" applyFont="1" applyFill="1" applyBorder="1" applyAlignment="1">
      <alignment horizontal="center" vertical="center"/>
    </xf>
    <xf numFmtId="0" fontId="35" fillId="11" borderId="20" xfId="0" applyFont="1" applyFill="1" applyBorder="1" applyAlignment="1">
      <alignment horizontal="center" vertical="center"/>
    </xf>
    <xf numFmtId="42" fontId="35" fillId="11" borderId="19" xfId="0" applyNumberFormat="1" applyFont="1" applyFill="1" applyBorder="1" applyAlignment="1">
      <alignment horizontal="center" vertical="center"/>
    </xf>
    <xf numFmtId="42" fontId="35" fillId="11" borderId="21" xfId="0" applyNumberFormat="1" applyFont="1" applyFill="1" applyBorder="1" applyAlignment="1">
      <alignment horizontal="center" vertical="center"/>
    </xf>
    <xf numFmtId="0" fontId="35" fillId="10" borderId="22" xfId="0" applyNumberFormat="1" applyFont="1" applyFill="1" applyBorder="1" applyAlignment="1">
      <alignment horizontal="center"/>
    </xf>
    <xf numFmtId="0" fontId="35" fillId="10" borderId="23" xfId="0" applyNumberFormat="1" applyFont="1" applyFill="1" applyBorder="1" applyAlignment="1">
      <alignment horizontal="center"/>
    </xf>
    <xf numFmtId="42" fontId="36" fillId="10" borderId="22" xfId="0" applyNumberFormat="1" applyFont="1" applyFill="1" applyBorder="1"/>
    <xf numFmtId="173" fontId="36" fillId="10" borderId="22" xfId="0" applyNumberFormat="1" applyFont="1" applyFill="1" applyBorder="1"/>
    <xf numFmtId="0" fontId="35" fillId="10" borderId="25" xfId="0" applyNumberFormat="1" applyFont="1" applyFill="1" applyBorder="1" applyAlignment="1">
      <alignment horizontal="center"/>
    </xf>
    <xf numFmtId="0" fontId="35" fillId="10" borderId="26" xfId="0" applyNumberFormat="1" applyFont="1" applyFill="1" applyBorder="1" applyAlignment="1">
      <alignment horizontal="center"/>
    </xf>
    <xf numFmtId="42" fontId="36" fillId="10" borderId="25" xfId="0" applyNumberFormat="1" applyFont="1" applyFill="1" applyBorder="1"/>
    <xf numFmtId="173" fontId="36" fillId="10" borderId="25" xfId="0" applyNumberFormat="1" applyFont="1" applyFill="1" applyBorder="1"/>
    <xf numFmtId="0" fontId="35" fillId="11" borderId="31" xfId="0" applyFont="1" applyFill="1" applyBorder="1" applyAlignment="1">
      <alignment horizontal="center" vertical="center"/>
    </xf>
    <xf numFmtId="0" fontId="35" fillId="11" borderId="28" xfId="0" applyFont="1" applyFill="1" applyBorder="1" applyAlignment="1">
      <alignment horizontal="center" vertical="center"/>
    </xf>
    <xf numFmtId="174" fontId="35" fillId="11" borderId="31" xfId="0" applyNumberFormat="1" applyFont="1" applyFill="1" applyBorder="1" applyAlignment="1">
      <alignment horizontal="center" vertical="center"/>
    </xf>
    <xf numFmtId="174" fontId="35" fillId="11" borderId="29" xfId="0" applyNumberFormat="1" applyFont="1" applyFill="1" applyBorder="1" applyAlignment="1">
      <alignment horizontal="center" vertical="center"/>
    </xf>
    <xf numFmtId="174" fontId="35" fillId="11" borderId="30" xfId="0" applyNumberFormat="1" applyFont="1" applyFill="1" applyBorder="1" applyAlignment="1">
      <alignment horizontal="center" vertical="center"/>
    </xf>
    <xf numFmtId="174" fontId="0" fillId="0" borderId="0" xfId="0" applyNumberFormat="1"/>
    <xf numFmtId="42" fontId="0" fillId="0" borderId="0" xfId="0" applyNumberFormat="1"/>
    <xf numFmtId="173" fontId="35" fillId="11" borderId="30" xfId="0" applyNumberFormat="1" applyFont="1" applyFill="1" applyBorder="1" applyAlignment="1">
      <alignment horizontal="center" vertical="center"/>
    </xf>
    <xf numFmtId="174" fontId="37" fillId="11" borderId="29" xfId="0" applyNumberFormat="1" applyFont="1" applyFill="1" applyBorder="1" applyAlignment="1">
      <alignment horizontal="center" vertical="center"/>
    </xf>
    <xf numFmtId="14" fontId="35" fillId="10" borderId="23" xfId="0" applyNumberFormat="1" applyFont="1" applyFill="1" applyBorder="1" applyAlignment="1">
      <alignment horizontal="center"/>
    </xf>
    <xf numFmtId="0" fontId="3" fillId="10" borderId="32" xfId="16" applyFill="1" applyBorder="1"/>
    <xf numFmtId="175" fontId="3" fillId="10" borderId="35" xfId="16" applyNumberFormat="1" applyFill="1" applyBorder="1"/>
    <xf numFmtId="174" fontId="3" fillId="10" borderId="36" xfId="16" applyNumberFormat="1" applyFill="1" applyBorder="1"/>
    <xf numFmtId="174" fontId="3" fillId="10" borderId="35" xfId="16" applyNumberFormat="1" applyFill="1" applyBorder="1"/>
    <xf numFmtId="174" fontId="3" fillId="10" borderId="37" xfId="16" applyNumberFormat="1" applyFill="1" applyBorder="1"/>
    <xf numFmtId="0" fontId="3" fillId="10" borderId="33" xfId="16" applyFill="1" applyBorder="1"/>
    <xf numFmtId="175" fontId="3" fillId="10" borderId="24" xfId="16" applyNumberFormat="1" applyFill="1" applyBorder="1"/>
    <xf numFmtId="174" fontId="3" fillId="10" borderId="17" xfId="16" applyNumberFormat="1" applyFill="1" applyBorder="1"/>
    <xf numFmtId="174" fontId="3" fillId="10" borderId="24" xfId="16" applyNumberFormat="1" applyFill="1" applyBorder="1"/>
    <xf numFmtId="174" fontId="3" fillId="10" borderId="38" xfId="16" applyNumberFormat="1" applyFill="1" applyBorder="1"/>
    <xf numFmtId="0" fontId="0" fillId="10" borderId="33" xfId="0" applyFill="1" applyBorder="1"/>
    <xf numFmtId="175" fontId="0" fillId="10" borderId="24" xfId="0" applyNumberFormat="1" applyFill="1" applyBorder="1"/>
    <xf numFmtId="174" fontId="0" fillId="10" borderId="17" xfId="0" applyNumberFormat="1" applyFill="1" applyBorder="1"/>
    <xf numFmtId="174" fontId="0" fillId="10" borderId="24" xfId="0" applyNumberFormat="1" applyFill="1" applyBorder="1"/>
    <xf numFmtId="174" fontId="0" fillId="10" borderId="38" xfId="0" applyNumberFormat="1" applyFill="1" applyBorder="1"/>
    <xf numFmtId="0" fontId="0" fillId="10" borderId="34" xfId="0" applyFill="1" applyBorder="1"/>
    <xf numFmtId="175" fontId="0" fillId="10" borderId="27" xfId="0" applyNumberFormat="1" applyFill="1" applyBorder="1"/>
    <xf numFmtId="174" fontId="0" fillId="10" borderId="40" xfId="0" applyNumberFormat="1" applyFill="1" applyBorder="1"/>
    <xf numFmtId="174" fontId="0" fillId="10" borderId="27" xfId="0" applyNumberFormat="1" applyFill="1" applyBorder="1"/>
    <xf numFmtId="174" fontId="0" fillId="10" borderId="39" xfId="0" applyNumberFormat="1" applyFill="1" applyBorder="1"/>
    <xf numFmtId="176" fontId="8" fillId="2" borderId="2" xfId="0" applyNumberFormat="1" applyFont="1" applyFill="1" applyBorder="1" applyProtection="1">
      <protection locked="0"/>
    </xf>
    <xf numFmtId="176" fontId="9" fillId="4" borderId="2" xfId="0" quotePrefix="1" applyNumberFormat="1" applyFont="1" applyFill="1" applyBorder="1" applyAlignment="1" applyProtection="1">
      <alignment horizontal="right"/>
      <protection locked="0"/>
    </xf>
    <xf numFmtId="176" fontId="24" fillId="6" borderId="2" xfId="0" applyNumberFormat="1" applyFont="1" applyFill="1" applyBorder="1" applyProtection="1">
      <protection locked="0"/>
    </xf>
    <xf numFmtId="176" fontId="8" fillId="0" borderId="2" xfId="0" applyNumberFormat="1" applyFont="1" applyFill="1" applyBorder="1" applyProtection="1">
      <protection locked="0"/>
    </xf>
    <xf numFmtId="176" fontId="8" fillId="0" borderId="2" xfId="0" applyNumberFormat="1" applyFont="1" applyFill="1" applyBorder="1" applyProtection="1"/>
    <xf numFmtId="176" fontId="25" fillId="0" borderId="2" xfId="0" applyNumberFormat="1" applyFont="1" applyFill="1" applyBorder="1" applyProtection="1">
      <protection locked="0"/>
    </xf>
    <xf numFmtId="176" fontId="24" fillId="4" borderId="2" xfId="0" applyNumberFormat="1" applyFont="1" applyFill="1" applyBorder="1" applyProtection="1">
      <protection locked="0"/>
    </xf>
    <xf numFmtId="176" fontId="22" fillId="2" borderId="2" xfId="0" applyNumberFormat="1" applyFont="1" applyFill="1" applyBorder="1" applyProtection="1">
      <protection locked="0"/>
    </xf>
    <xf numFmtId="176" fontId="8" fillId="6" borderId="2" xfId="0" applyNumberFormat="1" applyFont="1" applyFill="1" applyBorder="1" applyProtection="1">
      <protection locked="0"/>
    </xf>
    <xf numFmtId="176" fontId="9" fillId="2" borderId="2" xfId="0" applyNumberFormat="1" applyFont="1" applyFill="1" applyBorder="1" applyProtection="1">
      <protection locked="0"/>
    </xf>
    <xf numFmtId="176" fontId="9" fillId="6" borderId="2" xfId="0" applyNumberFormat="1" applyFont="1" applyFill="1" applyBorder="1" applyProtection="1">
      <protection locked="0"/>
    </xf>
    <xf numFmtId="176" fontId="9" fillId="2" borderId="2" xfId="0" applyNumberFormat="1" applyFont="1" applyFill="1" applyBorder="1" applyAlignment="1" applyProtection="1">
      <protection locked="0"/>
    </xf>
    <xf numFmtId="176" fontId="9" fillId="0" borderId="2" xfId="0" applyNumberFormat="1" applyFont="1" applyFill="1" applyBorder="1" applyProtection="1">
      <protection locked="0"/>
    </xf>
    <xf numFmtId="176" fontId="9" fillId="4" borderId="2" xfId="0" quotePrefix="1" applyNumberFormat="1" applyFont="1" applyFill="1" applyBorder="1" applyAlignment="1" applyProtection="1">
      <alignment horizontal="center"/>
      <protection locked="0"/>
    </xf>
    <xf numFmtId="176" fontId="8" fillId="0" borderId="2" xfId="0" applyNumberFormat="1" applyFont="1" applyFill="1" applyBorder="1" applyAlignment="1" applyProtection="1">
      <alignment vertical="top"/>
      <protection locked="0"/>
    </xf>
    <xf numFmtId="177" fontId="37" fillId="11" borderId="19" xfId="0" applyNumberFormat="1" applyFont="1" applyFill="1" applyBorder="1" applyAlignment="1">
      <alignment horizontal="center" vertical="center"/>
    </xf>
    <xf numFmtId="173" fontId="3" fillId="10" borderId="36" xfId="16" applyNumberFormat="1" applyFill="1" applyBorder="1"/>
    <xf numFmtId="173" fontId="3" fillId="10" borderId="17" xfId="16" applyNumberFormat="1" applyFill="1" applyBorder="1"/>
    <xf numFmtId="173" fontId="0" fillId="10" borderId="17" xfId="0" applyNumberFormat="1" applyFill="1" applyBorder="1"/>
    <xf numFmtId="173" fontId="0" fillId="10" borderId="40" xfId="0" applyNumberFormat="1" applyFill="1" applyBorder="1"/>
    <xf numFmtId="173" fontId="3" fillId="10" borderId="35" xfId="16" applyNumberFormat="1" applyFill="1" applyBorder="1"/>
    <xf numFmtId="173" fontId="3" fillId="10" borderId="24" xfId="16" applyNumberFormat="1" applyFill="1" applyBorder="1"/>
    <xf numFmtId="173" fontId="3" fillId="10" borderId="27" xfId="16" applyNumberFormat="1" applyFill="1" applyBorder="1"/>
    <xf numFmtId="176" fontId="8" fillId="0" borderId="2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7" fontId="5" fillId="0" borderId="0" xfId="0" applyNumberFormat="1" applyFont="1" applyFill="1" applyBorder="1" applyProtection="1">
      <protection locked="0"/>
    </xf>
    <xf numFmtId="15" fontId="30" fillId="0" borderId="5" xfId="0" applyNumberFormat="1" applyFont="1" applyFill="1" applyBorder="1" applyAlignment="1" applyProtection="1">
      <alignment horizontal="center"/>
      <protection locked="0"/>
    </xf>
    <xf numFmtId="0" fontId="31" fillId="0" borderId="0" xfId="0" applyFont="1" applyFill="1" applyBorder="1" applyAlignment="1" applyProtection="1">
      <alignment horizontal="left"/>
      <protection locked="0"/>
    </xf>
    <xf numFmtId="167" fontId="31" fillId="0" borderId="0" xfId="0" applyNumberFormat="1" applyFont="1" applyFill="1" applyBorder="1" applyProtection="1">
      <protection locked="0"/>
    </xf>
    <xf numFmtId="15" fontId="31" fillId="0" borderId="5" xfId="0" applyNumberFormat="1" applyFont="1" applyFill="1" applyBorder="1" applyAlignment="1" applyProtection="1">
      <alignment horizontal="center"/>
      <protection locked="0"/>
    </xf>
    <xf numFmtId="0" fontId="32" fillId="2" borderId="0" xfId="0" applyFont="1" applyFill="1" applyBorder="1" applyAlignment="1" applyProtection="1">
      <alignment horizontal="left"/>
      <protection locked="0"/>
    </xf>
    <xf numFmtId="0" fontId="32" fillId="0" borderId="0" xfId="0" applyFont="1" applyFill="1" applyBorder="1" applyAlignment="1" applyProtection="1">
      <alignment horizontal="left"/>
      <protection locked="0"/>
    </xf>
    <xf numFmtId="15" fontId="31" fillId="0" borderId="11" xfId="0" applyNumberFormat="1" applyFont="1" applyFill="1" applyBorder="1" applyAlignment="1" applyProtection="1">
      <alignment horizontal="center"/>
      <protection locked="0"/>
    </xf>
    <xf numFmtId="0" fontId="31" fillId="0" borderId="12" xfId="0" applyFont="1" applyFill="1" applyBorder="1" applyAlignment="1" applyProtection="1">
      <alignment horizontal="left"/>
      <protection locked="0"/>
    </xf>
    <xf numFmtId="167" fontId="31" fillId="0" borderId="12" xfId="0" applyNumberFormat="1" applyFont="1" applyFill="1" applyBorder="1" applyProtection="1">
      <protection locked="0"/>
    </xf>
    <xf numFmtId="176" fontId="9" fillId="4" borderId="2" xfId="0" applyNumberFormat="1" applyFont="1" applyFill="1" applyBorder="1" applyProtection="1">
      <protection locked="0"/>
    </xf>
    <xf numFmtId="15" fontId="30" fillId="2" borderId="5" xfId="0" applyNumberFormat="1" applyFont="1" applyFill="1" applyBorder="1" applyAlignment="1" applyProtection="1">
      <alignment horizontal="center"/>
      <protection locked="0"/>
    </xf>
    <xf numFmtId="167" fontId="6" fillId="2" borderId="7" xfId="0" applyNumberFormat="1" applyFont="1" applyFill="1" applyBorder="1" applyProtection="1">
      <protection locked="0"/>
    </xf>
    <xf numFmtId="15" fontId="30" fillId="0" borderId="11" xfId="0" applyNumberFormat="1" applyFont="1" applyFill="1" applyBorder="1" applyAlignment="1" applyProtection="1">
      <alignment horizontal="center"/>
      <protection locked="0"/>
    </xf>
    <xf numFmtId="172" fontId="19" fillId="3" borderId="6" xfId="0" applyNumberFormat="1" applyFont="1" applyFill="1" applyBorder="1" applyAlignment="1" applyProtection="1">
      <alignment horizontal="center"/>
      <protection locked="0"/>
    </xf>
    <xf numFmtId="172" fontId="19" fillId="3" borderId="8" xfId="0" applyNumberFormat="1" applyFont="1" applyFill="1" applyBorder="1" applyAlignment="1" applyProtection="1">
      <alignment horizontal="center"/>
      <protection locked="0"/>
    </xf>
    <xf numFmtId="172" fontId="20" fillId="5" borderId="6" xfId="0" applyNumberFormat="1" applyFont="1" applyFill="1" applyBorder="1" applyAlignment="1" applyProtection="1">
      <alignment horizontal="center"/>
      <protection locked="0"/>
    </xf>
    <xf numFmtId="172" fontId="20" fillId="5" borderId="17" xfId="0" applyNumberFormat="1" applyFont="1" applyFill="1" applyBorder="1" applyAlignment="1" applyProtection="1">
      <alignment horizontal="center"/>
      <protection locked="0"/>
    </xf>
    <xf numFmtId="172" fontId="10" fillId="3" borderId="0" xfId="0" applyNumberFormat="1" applyFont="1" applyFill="1" applyBorder="1" applyAlignment="1" applyProtection="1">
      <alignment horizontal="center"/>
      <protection locked="0"/>
    </xf>
  </cellXfs>
  <cellStyles count="19">
    <cellStyle name="Euro" xfId="1"/>
    <cellStyle name="Millares" xfId="2" builtinId="3"/>
    <cellStyle name="Millares [0]" xfId="3" builtinId="6"/>
    <cellStyle name="Millares [0] 2" xfId="13"/>
    <cellStyle name="Millares 2" xfId="12"/>
    <cellStyle name="Millares 3" xfId="15"/>
    <cellStyle name="Millares 4" xfId="14"/>
    <cellStyle name="Millares 5" xfId="6"/>
    <cellStyle name="Normal" xfId="0" builtinId="0"/>
    <cellStyle name="Normal 2" xfId="7"/>
    <cellStyle name="Normal 2 2" xfId="9"/>
    <cellStyle name="Normal 3" xfId="4"/>
    <cellStyle name="Normal 3 2" xfId="8"/>
    <cellStyle name="Normal 4" xfId="11"/>
    <cellStyle name="Normal 5" xfId="5"/>
    <cellStyle name="Normal 6" xfId="16"/>
    <cellStyle name="Normal 7" xfId="17"/>
    <cellStyle name="Normal 8" xfId="18"/>
    <cellStyle name="Porcentual 2" xfId="10"/>
  </cellStyles>
  <dxfs count="5">
    <dxf>
      <font>
        <b val="0"/>
        <i/>
        <condense val="0"/>
        <extend val="0"/>
        <u val="double"/>
      </font>
      <fill>
        <patternFill patternType="none">
          <bgColor indexed="65"/>
        </patternFill>
      </fill>
    </dxf>
    <dxf>
      <fill>
        <patternFill>
          <bgColor indexed="8"/>
        </patternFill>
      </fill>
    </dxf>
    <dxf>
      <font>
        <b/>
        <i val="0"/>
        <condense val="0"/>
        <extend val="0"/>
        <u val="double"/>
      </font>
      <fill>
        <patternFill patternType="solid">
          <bgColor indexed="8"/>
        </patternFill>
      </fill>
    </dxf>
    <dxf>
      <fill>
        <patternFill>
          <bgColor indexed="8"/>
        </patternFill>
      </fill>
    </dxf>
    <dxf>
      <font>
        <b/>
        <i val="0"/>
        <condense val="0"/>
        <extend val="0"/>
        <u val="double"/>
      </font>
      <fill>
        <patternFill patternType="solid">
          <bgColor indexed="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432134</xdr:colOff>
      <xdr:row>1</xdr:row>
      <xdr:rowOff>43614</xdr:rowOff>
    </xdr:from>
    <xdr:to>
      <xdr:col>2</xdr:col>
      <xdr:colOff>2783923</xdr:colOff>
      <xdr:row>4</xdr:row>
      <xdr:rowOff>104171</xdr:rowOff>
    </xdr:to>
    <xdr:pic>
      <xdr:nvPicPr>
        <xdr:cNvPr id="3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25127" y="231607"/>
          <a:ext cx="2351789" cy="637071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561975</xdr:colOff>
      <xdr:row>1</xdr:row>
      <xdr:rowOff>38100</xdr:rowOff>
    </xdr:from>
    <xdr:to>
      <xdr:col>3</xdr:col>
      <xdr:colOff>1749425</xdr:colOff>
      <xdr:row>4</xdr:row>
      <xdr:rowOff>53975</xdr:rowOff>
    </xdr:to>
    <xdr:pic>
      <xdr:nvPicPr>
        <xdr:cNvPr id="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0" y="361950"/>
          <a:ext cx="2590800" cy="5238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outlinePr summaryRight="0"/>
  </sheetPr>
  <dimension ref="A2:AH734"/>
  <sheetViews>
    <sheetView showGridLines="0" tabSelected="1" zoomScale="76" zoomScaleNormal="76" zoomScaleSheetLayoutView="166" workbookViewId="0">
      <selection activeCell="D6" sqref="D6"/>
    </sheetView>
  </sheetViews>
  <sheetFormatPr baseColWidth="10" defaultColWidth="7.5703125" defaultRowHeight="15"/>
  <cols>
    <col min="1" max="1" width="8" style="119" customWidth="1"/>
    <col min="2" max="2" width="23.28515625" style="108" customWidth="1"/>
    <col min="3" max="3" width="45.42578125" style="109" customWidth="1"/>
    <col min="4" max="4" width="22.5703125" style="110" customWidth="1"/>
    <col min="5" max="5" width="25.28515625" style="110" customWidth="1"/>
    <col min="6" max="6" width="24.140625" style="110" customWidth="1"/>
    <col min="7" max="7" width="18.140625" style="110" customWidth="1"/>
    <col min="8" max="8" width="21.5703125" style="110" customWidth="1"/>
    <col min="9" max="9" width="23.42578125" style="110" customWidth="1"/>
    <col min="10" max="10" width="21.140625" style="110" customWidth="1"/>
    <col min="11" max="11" width="20.140625" style="110" customWidth="1"/>
    <col min="12" max="12" width="20" style="111" customWidth="1"/>
    <col min="13" max="13" width="7.5703125" style="33"/>
    <col min="14" max="26" width="5.28515625" style="33" hidden="1" customWidth="1"/>
    <col min="27" max="27" width="5.28515625" style="33" customWidth="1"/>
    <col min="28" max="33" width="12.85546875" style="119" customWidth="1"/>
    <col min="34" max="34" width="24.28515625" style="119" customWidth="1"/>
    <col min="35" max="16384" width="7.5703125" style="33"/>
  </cols>
  <sheetData>
    <row r="2" spans="1:34">
      <c r="B2" s="29"/>
      <c r="C2" s="30"/>
      <c r="D2" s="31"/>
      <c r="E2" s="31"/>
      <c r="F2" s="31"/>
      <c r="G2" s="31"/>
      <c r="H2" s="31"/>
      <c r="I2" s="31"/>
      <c r="J2" s="31"/>
      <c r="K2" s="31"/>
      <c r="L2" s="32"/>
    </row>
    <row r="3" spans="1:34" ht="15.75">
      <c r="B3" s="34"/>
      <c r="C3" s="35"/>
      <c r="D3" s="37" t="s">
        <v>306</v>
      </c>
      <c r="E3" s="37"/>
      <c r="F3" s="36"/>
      <c r="G3" s="36"/>
      <c r="H3" s="36"/>
      <c r="I3" s="302">
        <v>41220</v>
      </c>
      <c r="J3" s="303"/>
      <c r="K3" s="36"/>
      <c r="L3" s="38"/>
    </row>
    <row r="4" spans="1:34">
      <c r="B4" s="34"/>
      <c r="C4" s="35"/>
      <c r="D4" s="36"/>
      <c r="E4" s="36"/>
      <c r="F4" s="39"/>
      <c r="G4" s="39"/>
      <c r="H4" s="39"/>
      <c r="I4" s="40" t="s">
        <v>88</v>
      </c>
      <c r="J4" s="36"/>
      <c r="K4" s="36"/>
      <c r="L4" s="38"/>
    </row>
    <row r="5" spans="1:34">
      <c r="B5" s="34"/>
      <c r="C5" s="35"/>
      <c r="D5" s="36"/>
      <c r="E5" s="36"/>
      <c r="F5" s="39"/>
      <c r="G5" s="39"/>
      <c r="H5" s="39"/>
      <c r="I5" s="39"/>
      <c r="J5" s="36"/>
      <c r="K5" s="36"/>
      <c r="L5" s="38"/>
    </row>
    <row r="6" spans="1:34" ht="15.75">
      <c r="B6" s="34"/>
      <c r="C6" s="41" t="s">
        <v>0</v>
      </c>
      <c r="D6" s="42"/>
      <c r="E6" s="36"/>
      <c r="F6" s="36"/>
      <c r="G6" s="36"/>
      <c r="H6" s="36"/>
      <c r="I6" s="36"/>
      <c r="J6" s="36"/>
      <c r="K6" s="36"/>
      <c r="L6" s="38"/>
    </row>
    <row r="7" spans="1:34">
      <c r="B7" s="43"/>
      <c r="C7" s="44"/>
      <c r="D7" s="45"/>
      <c r="E7" s="45"/>
      <c r="F7" s="45"/>
      <c r="G7" s="45"/>
      <c r="H7" s="45"/>
      <c r="I7" s="45"/>
      <c r="J7" s="45"/>
      <c r="K7" s="45"/>
      <c r="L7" s="46"/>
    </row>
    <row r="8" spans="1:34" ht="16.5" thickBot="1">
      <c r="B8" s="47"/>
      <c r="C8" s="48"/>
      <c r="D8" s="49"/>
      <c r="E8" s="49"/>
      <c r="F8" s="50"/>
      <c r="G8" s="50"/>
      <c r="H8" s="50"/>
      <c r="I8" s="50"/>
      <c r="J8" s="51"/>
      <c r="K8" s="36"/>
      <c r="L8" s="38"/>
    </row>
    <row r="9" spans="1:34" s="57" customFormat="1" ht="32.25" thickTop="1">
      <c r="A9" s="124"/>
      <c r="B9" s="52" t="s">
        <v>1</v>
      </c>
      <c r="C9" s="115" t="s">
        <v>2</v>
      </c>
      <c r="D9" s="53" t="s">
        <v>3</v>
      </c>
      <c r="E9" s="53" t="s">
        <v>4</v>
      </c>
      <c r="F9" s="54" t="s">
        <v>5</v>
      </c>
      <c r="G9" s="55">
        <v>50000</v>
      </c>
      <c r="H9" s="55">
        <v>20000</v>
      </c>
      <c r="I9" s="55">
        <v>10000</v>
      </c>
      <c r="J9" s="56">
        <v>5000</v>
      </c>
      <c r="K9" s="56">
        <v>2000</v>
      </c>
      <c r="L9" s="56">
        <v>1000</v>
      </c>
      <c r="AB9" s="120">
        <v>50000</v>
      </c>
      <c r="AC9" s="120">
        <v>20000</v>
      </c>
      <c r="AD9" s="120">
        <v>10000</v>
      </c>
      <c r="AE9" s="121">
        <v>5000</v>
      </c>
      <c r="AF9" s="121">
        <v>2000</v>
      </c>
      <c r="AG9" s="121">
        <v>1000</v>
      </c>
      <c r="AH9" s="121" t="s">
        <v>300</v>
      </c>
    </row>
    <row r="10" spans="1:34" ht="15.75">
      <c r="B10" s="58"/>
      <c r="C10" s="59"/>
      <c r="D10" s="60"/>
      <c r="E10" s="61"/>
      <c r="F10" s="61"/>
      <c r="G10" s="61"/>
      <c r="H10" s="61"/>
      <c r="I10" s="61"/>
      <c r="J10" s="62"/>
      <c r="K10" s="63"/>
      <c r="L10" s="63"/>
      <c r="AH10" s="122"/>
    </row>
    <row r="11" spans="1:34" ht="15.75">
      <c r="B11" s="64">
        <f>+I3-1</f>
        <v>41219</v>
      </c>
      <c r="C11" s="65" t="s">
        <v>6</v>
      </c>
      <c r="D11" s="66"/>
      <c r="E11" s="67"/>
      <c r="F11" s="71">
        <v>0</v>
      </c>
      <c r="G11" s="68"/>
      <c r="H11" s="68">
        <v>0</v>
      </c>
      <c r="I11" s="68">
        <v>0</v>
      </c>
      <c r="J11" s="68">
        <v>0</v>
      </c>
      <c r="K11" s="68">
        <v>0</v>
      </c>
      <c r="L11" s="68">
        <v>0</v>
      </c>
      <c r="AH11" s="122"/>
    </row>
    <row r="12" spans="1:34" ht="15.75">
      <c r="B12" s="64"/>
      <c r="C12" s="69" t="s">
        <v>286</v>
      </c>
      <c r="D12" s="66"/>
      <c r="E12" s="67"/>
      <c r="F12" s="71">
        <v>0</v>
      </c>
      <c r="G12" s="68"/>
      <c r="H12" s="68"/>
      <c r="I12" s="68"/>
      <c r="J12" s="68"/>
      <c r="K12" s="68"/>
      <c r="L12" s="68"/>
      <c r="AH12" s="122"/>
    </row>
    <row r="13" spans="1:34" ht="15.75">
      <c r="B13" s="64"/>
      <c r="C13" s="69" t="s">
        <v>289</v>
      </c>
      <c r="D13" s="66"/>
      <c r="E13" s="67"/>
      <c r="F13" s="71">
        <v>0</v>
      </c>
      <c r="G13" s="68"/>
      <c r="H13" s="68"/>
      <c r="I13" s="68"/>
      <c r="J13" s="68"/>
      <c r="K13" s="68"/>
      <c r="L13" s="68"/>
      <c r="AH13" s="122"/>
    </row>
    <row r="14" spans="1:34" ht="15.75">
      <c r="A14" s="125" t="s">
        <v>297</v>
      </c>
      <c r="B14" s="64"/>
      <c r="C14" s="69" t="s">
        <v>296</v>
      </c>
      <c r="D14" s="66"/>
      <c r="E14" s="67"/>
      <c r="F14" s="71">
        <v>0</v>
      </c>
      <c r="G14" s="68"/>
      <c r="H14" s="68"/>
      <c r="I14" s="68"/>
      <c r="J14" s="68"/>
      <c r="K14" s="68"/>
      <c r="L14" s="68"/>
      <c r="AH14" s="122"/>
    </row>
    <row r="15" spans="1:34" ht="15.75">
      <c r="A15" s="125" t="s">
        <v>298</v>
      </c>
      <c r="B15" s="64">
        <f>+I3</f>
        <v>41220</v>
      </c>
      <c r="C15" s="70" t="s">
        <v>7</v>
      </c>
      <c r="D15" s="66"/>
      <c r="E15" s="66"/>
      <c r="F15" s="71">
        <f>SUBTOTAL(9,F11:F14)</f>
        <v>0</v>
      </c>
      <c r="G15" s="66"/>
      <c r="H15" s="66"/>
      <c r="I15" s="66"/>
      <c r="J15" s="66"/>
      <c r="K15" s="72"/>
      <c r="L15" s="72"/>
      <c r="AH15" s="122"/>
    </row>
    <row r="16" spans="1:34" s="74" customFormat="1" ht="15.75">
      <c r="A16" s="125">
        <v>1</v>
      </c>
      <c r="B16" s="73"/>
      <c r="C16" s="126" t="s">
        <v>8</v>
      </c>
      <c r="D16" s="263"/>
      <c r="E16" s="263">
        <f>+SUM(H16:L16)</f>
        <v>0</v>
      </c>
      <c r="F16" s="263"/>
      <c r="G16" s="263"/>
      <c r="H16" s="263">
        <f>IFERROR(VLOOKUP(A16,Cargas!$B$3:$I$93,3,FALSE),0)</f>
        <v>0</v>
      </c>
      <c r="I16" s="263">
        <f>IFERROR(VLOOKUP(A16,Cargas!$B$3:$I$93,4,FALSE),0)</f>
        <v>0</v>
      </c>
      <c r="J16" s="263">
        <f>IFERROR(VLOOKUP(A16,Cargas!$B$3:$I$93,5,FALSE),0)</f>
        <v>0</v>
      </c>
      <c r="K16" s="263">
        <f>IFERROR(VLOOKUP(A16,Cargas!$B$3:$I$93,6,FALSE),0)</f>
        <v>0</v>
      </c>
      <c r="L16" s="263">
        <f>IFERROR(VLOOKUP(A16,Cargas!$B$3:$I$93,7,FALSE),0)</f>
        <v>0</v>
      </c>
      <c r="AB16" s="123">
        <f>+G16/G$9</f>
        <v>0</v>
      </c>
      <c r="AC16" s="123">
        <f t="shared" ref="AC16:AG31" si="0">+H16/H$9</f>
        <v>0</v>
      </c>
      <c r="AD16" s="123">
        <f t="shared" si="0"/>
        <v>0</v>
      </c>
      <c r="AE16" s="123">
        <f t="shared" si="0"/>
        <v>0</v>
      </c>
      <c r="AF16" s="123">
        <f t="shared" si="0"/>
        <v>0</v>
      </c>
      <c r="AG16" s="123">
        <f t="shared" si="0"/>
        <v>0</v>
      </c>
      <c r="AH16" s="122">
        <f t="shared" ref="AH16:AH78" si="1">+SUM(AB16:AG16)</f>
        <v>0</v>
      </c>
    </row>
    <row r="17" spans="1:34" s="75" customFormat="1" ht="15.75">
      <c r="A17" s="125">
        <v>2</v>
      </c>
      <c r="B17" s="73"/>
      <c r="C17" s="126" t="s">
        <v>9</v>
      </c>
      <c r="D17" s="263"/>
      <c r="E17" s="263">
        <f t="shared" ref="E17:E80" si="2">+SUM(H17:L17)</f>
        <v>0</v>
      </c>
      <c r="F17" s="263"/>
      <c r="G17" s="263"/>
      <c r="H17" s="263">
        <f>IFERROR(VLOOKUP(A17,Cargas!$B$3:$I$93,3,FALSE),0)</f>
        <v>0</v>
      </c>
      <c r="I17" s="263">
        <f>IFERROR(VLOOKUP(A17,Cargas!$B$3:$I$93,4,FALSE),0)</f>
        <v>0</v>
      </c>
      <c r="J17" s="263">
        <f>IFERROR(VLOOKUP(A17,Cargas!$B$3:$I$93,5,FALSE),0)</f>
        <v>0</v>
      </c>
      <c r="K17" s="263">
        <f>IFERROR(VLOOKUP(A17,Cargas!$B$3:$I$93,6,FALSE),0)</f>
        <v>0</v>
      </c>
      <c r="L17" s="263">
        <f>IFERROR(VLOOKUP(A17,Cargas!$B$3:$I$93,7,FALSE),0)</f>
        <v>0</v>
      </c>
      <c r="AB17" s="123">
        <f t="shared" ref="AB17:AG70" si="3">+G17/G$9</f>
        <v>0</v>
      </c>
      <c r="AC17" s="123">
        <f t="shared" si="0"/>
        <v>0</v>
      </c>
      <c r="AD17" s="123">
        <f t="shared" si="0"/>
        <v>0</v>
      </c>
      <c r="AE17" s="123">
        <f t="shared" si="0"/>
        <v>0</v>
      </c>
      <c r="AF17" s="123">
        <f t="shared" si="0"/>
        <v>0</v>
      </c>
      <c r="AG17" s="123">
        <f t="shared" si="0"/>
        <v>0</v>
      </c>
      <c r="AH17" s="122">
        <f t="shared" si="1"/>
        <v>0</v>
      </c>
    </row>
    <row r="18" spans="1:34" s="75" customFormat="1" ht="15.75">
      <c r="A18" s="125">
        <v>3</v>
      </c>
      <c r="B18" s="73"/>
      <c r="C18" s="126" t="s">
        <v>10</v>
      </c>
      <c r="D18" s="263"/>
      <c r="E18" s="263">
        <f t="shared" si="2"/>
        <v>0</v>
      </c>
      <c r="F18" s="263"/>
      <c r="G18" s="263"/>
      <c r="H18" s="263">
        <f>IFERROR(VLOOKUP(A18,Cargas!$B$3:$I$93,3,FALSE),0)</f>
        <v>0</v>
      </c>
      <c r="I18" s="263">
        <f>IFERROR(VLOOKUP(A18,Cargas!$B$3:$I$93,4,FALSE),0)</f>
        <v>0</v>
      </c>
      <c r="J18" s="263">
        <f>IFERROR(VLOOKUP(A18,Cargas!$B$3:$I$93,5,FALSE),0)</f>
        <v>0</v>
      </c>
      <c r="K18" s="263">
        <f>IFERROR(VLOOKUP(A18,Cargas!$B$3:$I$93,6,FALSE),0)</f>
        <v>0</v>
      </c>
      <c r="L18" s="263">
        <f>IFERROR(VLOOKUP(A18,Cargas!$B$3:$I$93,7,FALSE),0)</f>
        <v>0</v>
      </c>
      <c r="AB18" s="123">
        <f t="shared" si="3"/>
        <v>0</v>
      </c>
      <c r="AC18" s="123">
        <f t="shared" si="0"/>
        <v>0</v>
      </c>
      <c r="AD18" s="123">
        <f t="shared" si="0"/>
        <v>0</v>
      </c>
      <c r="AE18" s="123">
        <f t="shared" si="0"/>
        <v>0</v>
      </c>
      <c r="AF18" s="123">
        <f t="shared" si="0"/>
        <v>0</v>
      </c>
      <c r="AG18" s="123">
        <f t="shared" si="0"/>
        <v>0</v>
      </c>
      <c r="AH18" s="122">
        <f t="shared" si="1"/>
        <v>0</v>
      </c>
    </row>
    <row r="19" spans="1:34" s="74" customFormat="1" ht="15.75">
      <c r="A19" s="125">
        <v>4</v>
      </c>
      <c r="B19" s="73"/>
      <c r="C19" s="126" t="s">
        <v>11</v>
      </c>
      <c r="D19" s="263"/>
      <c r="E19" s="263">
        <f t="shared" si="2"/>
        <v>0</v>
      </c>
      <c r="F19" s="270"/>
      <c r="G19" s="263"/>
      <c r="H19" s="263">
        <f>IFERROR(VLOOKUP(A19,Cargas!$B$3:$I$93,3,FALSE),0)</f>
        <v>0</v>
      </c>
      <c r="I19" s="263">
        <f>IFERROR(VLOOKUP(A19,Cargas!$B$3:$I$93,4,FALSE),0)</f>
        <v>0</v>
      </c>
      <c r="J19" s="263">
        <f>IFERROR(VLOOKUP(A19,Cargas!$B$3:$I$93,5,FALSE),0)</f>
        <v>0</v>
      </c>
      <c r="K19" s="263">
        <f>IFERROR(VLOOKUP(A19,Cargas!$B$3:$I$93,6,FALSE),0)</f>
        <v>0</v>
      </c>
      <c r="L19" s="263">
        <f>IFERROR(VLOOKUP(A19,Cargas!$B$3:$I$93,7,FALSE),0)</f>
        <v>0</v>
      </c>
      <c r="AB19" s="123">
        <f t="shared" si="3"/>
        <v>0</v>
      </c>
      <c r="AC19" s="123">
        <f t="shared" si="0"/>
        <v>0</v>
      </c>
      <c r="AD19" s="123">
        <f t="shared" si="0"/>
        <v>0</v>
      </c>
      <c r="AE19" s="123">
        <f t="shared" si="0"/>
        <v>0</v>
      </c>
      <c r="AF19" s="123">
        <f t="shared" si="0"/>
        <v>0</v>
      </c>
      <c r="AG19" s="123">
        <f t="shared" si="0"/>
        <v>0</v>
      </c>
      <c r="AH19" s="122">
        <f t="shared" si="1"/>
        <v>0</v>
      </c>
    </row>
    <row r="20" spans="1:34" s="75" customFormat="1" ht="15.75">
      <c r="A20" s="125">
        <v>5</v>
      </c>
      <c r="B20" s="73"/>
      <c r="C20" s="126" t="s">
        <v>12</v>
      </c>
      <c r="D20" s="263"/>
      <c r="E20" s="263">
        <f t="shared" si="2"/>
        <v>0</v>
      </c>
      <c r="F20" s="263"/>
      <c r="G20" s="263"/>
      <c r="H20" s="263">
        <f>IFERROR(VLOOKUP(A20,Cargas!$B$3:$I$93,3,FALSE),0)</f>
        <v>0</v>
      </c>
      <c r="I20" s="263">
        <f>IFERROR(VLOOKUP(A20,Cargas!$B$3:$I$93,4,FALSE),0)</f>
        <v>0</v>
      </c>
      <c r="J20" s="263">
        <f>IFERROR(VLOOKUP(A20,Cargas!$B$3:$I$93,5,FALSE),0)</f>
        <v>0</v>
      </c>
      <c r="K20" s="263">
        <f>IFERROR(VLOOKUP(A20,Cargas!$B$3:$I$93,6,FALSE),0)</f>
        <v>0</v>
      </c>
      <c r="L20" s="263">
        <f>IFERROR(VLOOKUP(A20,Cargas!$B$3:$I$93,7,FALSE),0)</f>
        <v>0</v>
      </c>
      <c r="AB20" s="123">
        <f t="shared" si="3"/>
        <v>0</v>
      </c>
      <c r="AC20" s="123">
        <f t="shared" si="0"/>
        <v>0</v>
      </c>
      <c r="AD20" s="123">
        <f t="shared" si="0"/>
        <v>0</v>
      </c>
      <c r="AE20" s="123">
        <f t="shared" si="0"/>
        <v>0</v>
      </c>
      <c r="AF20" s="123">
        <f t="shared" si="0"/>
        <v>0</v>
      </c>
      <c r="AG20" s="123">
        <f t="shared" si="0"/>
        <v>0</v>
      </c>
      <c r="AH20" s="122">
        <f t="shared" si="1"/>
        <v>0</v>
      </c>
    </row>
    <row r="21" spans="1:34" s="75" customFormat="1" ht="15.75">
      <c r="A21" s="125">
        <v>6</v>
      </c>
      <c r="B21" s="73"/>
      <c r="C21" s="126" t="s">
        <v>13</v>
      </c>
      <c r="D21" s="263"/>
      <c r="E21" s="263">
        <f t="shared" si="2"/>
        <v>0</v>
      </c>
      <c r="F21" s="270"/>
      <c r="G21" s="263"/>
      <c r="H21" s="263">
        <f>IFERROR(VLOOKUP(A21,Cargas!$B$3:$I$93,3,FALSE),0)</f>
        <v>0</v>
      </c>
      <c r="I21" s="263">
        <f>IFERROR(VLOOKUP(A21,Cargas!$B$3:$I$93,4,FALSE),0)</f>
        <v>0</v>
      </c>
      <c r="J21" s="263">
        <f>IFERROR(VLOOKUP(A21,Cargas!$B$3:$I$93,5,FALSE),0)</f>
        <v>0</v>
      </c>
      <c r="K21" s="263">
        <f>IFERROR(VLOOKUP(A21,Cargas!$B$3:$I$93,6,FALSE),0)</f>
        <v>0</v>
      </c>
      <c r="L21" s="263">
        <f>IFERROR(VLOOKUP(A21,Cargas!$B$3:$I$93,7,FALSE),0)</f>
        <v>0</v>
      </c>
      <c r="AB21" s="123">
        <f t="shared" si="3"/>
        <v>0</v>
      </c>
      <c r="AC21" s="123">
        <f t="shared" si="0"/>
        <v>0</v>
      </c>
      <c r="AD21" s="123">
        <f t="shared" si="0"/>
        <v>0</v>
      </c>
      <c r="AE21" s="123">
        <f t="shared" si="0"/>
        <v>0</v>
      </c>
      <c r="AF21" s="123">
        <f t="shared" si="0"/>
        <v>0</v>
      </c>
      <c r="AG21" s="123">
        <f t="shared" si="0"/>
        <v>0</v>
      </c>
      <c r="AH21" s="122">
        <f t="shared" si="1"/>
        <v>0</v>
      </c>
    </row>
    <row r="22" spans="1:34" s="74" customFormat="1" ht="15.75">
      <c r="A22" s="125">
        <v>7</v>
      </c>
      <c r="B22" s="73" t="s">
        <v>88</v>
      </c>
      <c r="C22" s="127" t="s">
        <v>14</v>
      </c>
      <c r="D22" s="263"/>
      <c r="E22" s="263">
        <f t="shared" si="2"/>
        <v>0</v>
      </c>
      <c r="F22" s="263"/>
      <c r="G22" s="263"/>
      <c r="H22" s="263">
        <f>IFERROR(VLOOKUP(A22,Cargas!$B$3:$I$93,3,FALSE),0)</f>
        <v>0</v>
      </c>
      <c r="I22" s="263">
        <f>IFERROR(VLOOKUP(A22,Cargas!$B$3:$I$93,4,FALSE),0)</f>
        <v>0</v>
      </c>
      <c r="J22" s="263">
        <f>IFERROR(VLOOKUP(A22,Cargas!$B$3:$I$93,5,FALSE),0)</f>
        <v>0</v>
      </c>
      <c r="K22" s="263">
        <f>IFERROR(VLOOKUP(A22,Cargas!$B$3:$I$93,6,FALSE),0)</f>
        <v>0</v>
      </c>
      <c r="L22" s="263">
        <f>IFERROR(VLOOKUP(A22,Cargas!$B$3:$I$93,7,FALSE),0)</f>
        <v>0</v>
      </c>
      <c r="AB22" s="123">
        <f t="shared" si="3"/>
        <v>0</v>
      </c>
      <c r="AC22" s="123">
        <f t="shared" si="0"/>
        <v>0</v>
      </c>
      <c r="AD22" s="123">
        <f t="shared" si="0"/>
        <v>0</v>
      </c>
      <c r="AE22" s="123">
        <f t="shared" si="0"/>
        <v>0</v>
      </c>
      <c r="AF22" s="123">
        <f t="shared" si="0"/>
        <v>0</v>
      </c>
      <c r="AG22" s="123">
        <f t="shared" si="0"/>
        <v>0</v>
      </c>
      <c r="AH22" s="122">
        <f t="shared" si="1"/>
        <v>0</v>
      </c>
    </row>
    <row r="23" spans="1:34" s="75" customFormat="1" ht="15.75">
      <c r="A23" s="125">
        <v>8</v>
      </c>
      <c r="B23" s="73"/>
      <c r="C23" s="126" t="s">
        <v>15</v>
      </c>
      <c r="D23" s="263"/>
      <c r="E23" s="263">
        <f t="shared" si="2"/>
        <v>0</v>
      </c>
      <c r="F23" s="263"/>
      <c r="G23" s="263"/>
      <c r="H23" s="263">
        <f>IFERROR(VLOOKUP(A23,Cargas!$B$3:$I$93,3,FALSE),0)</f>
        <v>0</v>
      </c>
      <c r="I23" s="263">
        <f>IFERROR(VLOOKUP(A23,Cargas!$B$3:$I$93,4,FALSE),0)</f>
        <v>0</v>
      </c>
      <c r="J23" s="263">
        <f>IFERROR(VLOOKUP(A23,Cargas!$B$3:$I$93,5,FALSE),0)</f>
        <v>0</v>
      </c>
      <c r="K23" s="263">
        <f>IFERROR(VLOOKUP(A23,Cargas!$B$3:$I$93,6,FALSE),0)</f>
        <v>0</v>
      </c>
      <c r="L23" s="263">
        <f>IFERROR(VLOOKUP(A23,Cargas!$B$3:$I$93,7,FALSE),0)</f>
        <v>0</v>
      </c>
      <c r="AB23" s="123">
        <f t="shared" si="3"/>
        <v>0</v>
      </c>
      <c r="AC23" s="123">
        <f t="shared" si="0"/>
        <v>0</v>
      </c>
      <c r="AD23" s="123">
        <f t="shared" si="0"/>
        <v>0</v>
      </c>
      <c r="AE23" s="123">
        <f t="shared" si="0"/>
        <v>0</v>
      </c>
      <c r="AF23" s="123">
        <f t="shared" si="0"/>
        <v>0</v>
      </c>
      <c r="AG23" s="123">
        <f t="shared" si="0"/>
        <v>0</v>
      </c>
      <c r="AH23" s="122">
        <f t="shared" si="1"/>
        <v>0</v>
      </c>
    </row>
    <row r="24" spans="1:34" s="75" customFormat="1" ht="15.75">
      <c r="A24" s="125">
        <v>9</v>
      </c>
      <c r="B24" s="73"/>
      <c r="C24" s="127" t="s">
        <v>16</v>
      </c>
      <c r="D24" s="271"/>
      <c r="E24" s="263">
        <f t="shared" si="2"/>
        <v>0</v>
      </c>
      <c r="F24" s="263"/>
      <c r="G24" s="263"/>
      <c r="H24" s="263">
        <f>IFERROR(VLOOKUP(A24,Cargas!$B$3:$I$93,3,FALSE),0)</f>
        <v>0</v>
      </c>
      <c r="I24" s="263">
        <f>IFERROR(VLOOKUP(A24,Cargas!$B$3:$I$93,4,FALSE),0)</f>
        <v>0</v>
      </c>
      <c r="J24" s="263">
        <f>IFERROR(VLOOKUP(A24,Cargas!$B$3:$I$93,5,FALSE),0)</f>
        <v>0</v>
      </c>
      <c r="K24" s="263">
        <f>IFERROR(VLOOKUP(A24,Cargas!$B$3:$I$93,6,FALSE),0)</f>
        <v>0</v>
      </c>
      <c r="L24" s="263">
        <f>IFERROR(VLOOKUP(A24,Cargas!$B$3:$I$93,7,FALSE),0)</f>
        <v>0</v>
      </c>
      <c r="AB24" s="123">
        <f t="shared" si="3"/>
        <v>0</v>
      </c>
      <c r="AC24" s="123">
        <f t="shared" si="0"/>
        <v>0</v>
      </c>
      <c r="AD24" s="123">
        <f t="shared" si="0"/>
        <v>0</v>
      </c>
      <c r="AE24" s="123">
        <f t="shared" si="0"/>
        <v>0</v>
      </c>
      <c r="AF24" s="123">
        <f t="shared" si="0"/>
        <v>0</v>
      </c>
      <c r="AG24" s="123">
        <f t="shared" si="0"/>
        <v>0</v>
      </c>
      <c r="AH24" s="122">
        <f t="shared" si="1"/>
        <v>0</v>
      </c>
    </row>
    <row r="25" spans="1:34" s="74" customFormat="1" ht="15.75">
      <c r="A25" s="125">
        <v>10</v>
      </c>
      <c r="B25" s="73"/>
      <c r="C25" s="126" t="s">
        <v>17</v>
      </c>
      <c r="D25" s="263"/>
      <c r="E25" s="263">
        <f t="shared" si="2"/>
        <v>0</v>
      </c>
      <c r="F25" s="263"/>
      <c r="G25" s="263"/>
      <c r="H25" s="263">
        <f>IFERROR(VLOOKUP(A25,Cargas!$B$3:$I$93,3,FALSE),0)</f>
        <v>0</v>
      </c>
      <c r="I25" s="263">
        <f>IFERROR(VLOOKUP(A25,Cargas!$B$3:$I$93,4,FALSE),0)</f>
        <v>0</v>
      </c>
      <c r="J25" s="263">
        <f>IFERROR(VLOOKUP(A25,Cargas!$B$3:$I$93,5,FALSE),0)</f>
        <v>0</v>
      </c>
      <c r="K25" s="263">
        <f>IFERROR(VLOOKUP(A25,Cargas!$B$3:$I$93,6,FALSE),0)</f>
        <v>0</v>
      </c>
      <c r="L25" s="263">
        <f>IFERROR(VLOOKUP(A25,Cargas!$B$3:$I$93,7,FALSE),0)</f>
        <v>0</v>
      </c>
      <c r="AB25" s="123">
        <f t="shared" si="3"/>
        <v>0</v>
      </c>
      <c r="AC25" s="123">
        <f t="shared" si="0"/>
        <v>0</v>
      </c>
      <c r="AD25" s="123">
        <f t="shared" si="0"/>
        <v>0</v>
      </c>
      <c r="AE25" s="123">
        <f t="shared" si="0"/>
        <v>0</v>
      </c>
      <c r="AF25" s="123">
        <f t="shared" si="0"/>
        <v>0</v>
      </c>
      <c r="AG25" s="123">
        <f t="shared" si="0"/>
        <v>0</v>
      </c>
      <c r="AH25" s="122">
        <f t="shared" si="1"/>
        <v>0</v>
      </c>
    </row>
    <row r="26" spans="1:34" s="75" customFormat="1" ht="15.75">
      <c r="A26" s="125">
        <v>11</v>
      </c>
      <c r="B26" s="73"/>
      <c r="C26" s="126" t="s">
        <v>18</v>
      </c>
      <c r="D26" s="263"/>
      <c r="E26" s="263">
        <f t="shared" si="2"/>
        <v>0</v>
      </c>
      <c r="F26" s="263"/>
      <c r="G26" s="263"/>
      <c r="H26" s="263">
        <f>IFERROR(VLOOKUP(A26,Cargas!$B$3:$I$93,3,FALSE),0)</f>
        <v>0</v>
      </c>
      <c r="I26" s="263">
        <f>IFERROR(VLOOKUP(A26,Cargas!$B$3:$I$93,4,FALSE),0)</f>
        <v>0</v>
      </c>
      <c r="J26" s="263">
        <f>IFERROR(VLOOKUP(A26,Cargas!$B$3:$I$93,5,FALSE),0)</f>
        <v>0</v>
      </c>
      <c r="K26" s="263">
        <f>IFERROR(VLOOKUP(A26,Cargas!$B$3:$I$93,6,FALSE),0)</f>
        <v>0</v>
      </c>
      <c r="L26" s="263">
        <f>IFERROR(VLOOKUP(A26,Cargas!$B$3:$I$93,7,FALSE),0)</f>
        <v>0</v>
      </c>
      <c r="AB26" s="123">
        <f t="shared" si="3"/>
        <v>0</v>
      </c>
      <c r="AC26" s="123">
        <f t="shared" si="0"/>
        <v>0</v>
      </c>
      <c r="AD26" s="123">
        <f t="shared" si="0"/>
        <v>0</v>
      </c>
      <c r="AE26" s="123">
        <f t="shared" si="0"/>
        <v>0</v>
      </c>
      <c r="AF26" s="123">
        <f t="shared" si="0"/>
        <v>0</v>
      </c>
      <c r="AG26" s="123">
        <f t="shared" si="0"/>
        <v>0</v>
      </c>
      <c r="AH26" s="122">
        <f t="shared" si="1"/>
        <v>0</v>
      </c>
    </row>
    <row r="27" spans="1:34" s="75" customFormat="1" ht="15.75">
      <c r="A27" s="125">
        <v>12</v>
      </c>
      <c r="B27" s="73"/>
      <c r="C27" s="126" t="s">
        <v>156</v>
      </c>
      <c r="D27" s="263"/>
      <c r="E27" s="263">
        <f t="shared" si="2"/>
        <v>0</v>
      </c>
      <c r="F27" s="263"/>
      <c r="G27" s="263"/>
      <c r="H27" s="263">
        <f>IFERROR(VLOOKUP(A27,Cargas!$B$3:$I$93,3,FALSE),0)</f>
        <v>0</v>
      </c>
      <c r="I27" s="263">
        <f>IFERROR(VLOOKUP(A27,Cargas!$B$3:$I$93,4,FALSE),0)</f>
        <v>0</v>
      </c>
      <c r="J27" s="263">
        <f>IFERROR(VLOOKUP(A27,Cargas!$B$3:$I$93,5,FALSE),0)</f>
        <v>0</v>
      </c>
      <c r="K27" s="263">
        <f>IFERROR(VLOOKUP(A27,Cargas!$B$3:$I$93,6,FALSE),0)</f>
        <v>0</v>
      </c>
      <c r="L27" s="263">
        <f>IFERROR(VLOOKUP(A27,Cargas!$B$3:$I$93,7,FALSE),0)</f>
        <v>0</v>
      </c>
      <c r="AB27" s="123">
        <f t="shared" si="3"/>
        <v>0</v>
      </c>
      <c r="AC27" s="123">
        <f t="shared" si="0"/>
        <v>0</v>
      </c>
      <c r="AD27" s="123">
        <f t="shared" si="0"/>
        <v>0</v>
      </c>
      <c r="AE27" s="123">
        <f t="shared" si="0"/>
        <v>0</v>
      </c>
      <c r="AF27" s="123">
        <f t="shared" si="0"/>
        <v>0</v>
      </c>
      <c r="AG27" s="123">
        <f t="shared" si="0"/>
        <v>0</v>
      </c>
      <c r="AH27" s="122">
        <f t="shared" si="1"/>
        <v>0</v>
      </c>
    </row>
    <row r="28" spans="1:34" s="75" customFormat="1" ht="15.75">
      <c r="A28" s="125">
        <v>13</v>
      </c>
      <c r="B28" s="73"/>
      <c r="C28" s="126" t="s">
        <v>157</v>
      </c>
      <c r="D28" s="263"/>
      <c r="E28" s="263">
        <f t="shared" si="2"/>
        <v>0</v>
      </c>
      <c r="F28" s="263"/>
      <c r="G28" s="263"/>
      <c r="H28" s="263">
        <f>IFERROR(VLOOKUP(A28,Cargas!$B$3:$I$93,3,FALSE),0)</f>
        <v>0</v>
      </c>
      <c r="I28" s="263">
        <f>IFERROR(VLOOKUP(A28,Cargas!$B$3:$I$93,4,FALSE),0)</f>
        <v>0</v>
      </c>
      <c r="J28" s="263">
        <f>IFERROR(VLOOKUP(A28,Cargas!$B$3:$I$93,5,FALSE),0)</f>
        <v>0</v>
      </c>
      <c r="K28" s="263">
        <f>IFERROR(VLOOKUP(A28,Cargas!$B$3:$I$93,6,FALSE),0)</f>
        <v>0</v>
      </c>
      <c r="L28" s="263">
        <f>IFERROR(VLOOKUP(A28,Cargas!$B$3:$I$93,7,FALSE),0)</f>
        <v>0</v>
      </c>
      <c r="AB28" s="123">
        <f t="shared" si="3"/>
        <v>0</v>
      </c>
      <c r="AC28" s="123">
        <f t="shared" si="0"/>
        <v>0</v>
      </c>
      <c r="AD28" s="123">
        <f t="shared" si="0"/>
        <v>0</v>
      </c>
      <c r="AE28" s="123">
        <f t="shared" si="0"/>
        <v>0</v>
      </c>
      <c r="AF28" s="123">
        <f t="shared" si="0"/>
        <v>0</v>
      </c>
      <c r="AG28" s="123">
        <f t="shared" si="0"/>
        <v>0</v>
      </c>
      <c r="AH28" s="122">
        <f t="shared" si="1"/>
        <v>0</v>
      </c>
    </row>
    <row r="29" spans="1:34" s="74" customFormat="1" ht="15.75">
      <c r="A29" s="125">
        <v>14</v>
      </c>
      <c r="B29" s="73"/>
      <c r="C29" s="127" t="s">
        <v>241</v>
      </c>
      <c r="D29" s="271"/>
      <c r="E29" s="263">
        <f t="shared" si="2"/>
        <v>0</v>
      </c>
      <c r="F29" s="263"/>
      <c r="G29" s="263"/>
      <c r="H29" s="263">
        <f>IFERROR(VLOOKUP(A29,Cargas!$B$3:$I$93,3,FALSE),0)</f>
        <v>0</v>
      </c>
      <c r="I29" s="263">
        <f>IFERROR(VLOOKUP(A29,Cargas!$B$3:$I$93,4,FALSE),0)</f>
        <v>0</v>
      </c>
      <c r="J29" s="263">
        <f>IFERROR(VLOOKUP(A29,Cargas!$B$3:$I$93,5,FALSE),0)</f>
        <v>0</v>
      </c>
      <c r="K29" s="263">
        <f>IFERROR(VLOOKUP(A29,Cargas!$B$3:$I$93,6,FALSE),0)</f>
        <v>0</v>
      </c>
      <c r="L29" s="263">
        <f>IFERROR(VLOOKUP(A29,Cargas!$B$3:$I$93,7,FALSE),0)</f>
        <v>0</v>
      </c>
      <c r="AB29" s="123">
        <f t="shared" si="3"/>
        <v>0</v>
      </c>
      <c r="AC29" s="123">
        <f t="shared" si="0"/>
        <v>0</v>
      </c>
      <c r="AD29" s="123">
        <f t="shared" si="0"/>
        <v>0</v>
      </c>
      <c r="AE29" s="123">
        <f t="shared" si="0"/>
        <v>0</v>
      </c>
      <c r="AF29" s="123">
        <f t="shared" si="0"/>
        <v>0</v>
      </c>
      <c r="AG29" s="123">
        <f t="shared" si="0"/>
        <v>0</v>
      </c>
      <c r="AH29" s="122">
        <f t="shared" si="1"/>
        <v>0</v>
      </c>
    </row>
    <row r="30" spans="1:34" s="75" customFormat="1" ht="15.75">
      <c r="A30" s="125">
        <v>15</v>
      </c>
      <c r="B30" s="73"/>
      <c r="C30" s="127" t="s">
        <v>158</v>
      </c>
      <c r="D30" s="271"/>
      <c r="E30" s="263">
        <f t="shared" si="2"/>
        <v>0</v>
      </c>
      <c r="F30" s="263"/>
      <c r="G30" s="263"/>
      <c r="H30" s="263">
        <f>IFERROR(VLOOKUP(A30,Cargas!$B$3:$I$93,3,FALSE),0)</f>
        <v>0</v>
      </c>
      <c r="I30" s="263">
        <f>IFERROR(VLOOKUP(A30,Cargas!$B$3:$I$93,4,FALSE),0)</f>
        <v>0</v>
      </c>
      <c r="J30" s="263">
        <f>IFERROR(VLOOKUP(A30,Cargas!$B$3:$I$93,5,FALSE),0)</f>
        <v>0</v>
      </c>
      <c r="K30" s="263">
        <f>IFERROR(VLOOKUP(A30,Cargas!$B$3:$I$93,6,FALSE),0)</f>
        <v>0</v>
      </c>
      <c r="L30" s="263">
        <f>IFERROR(VLOOKUP(A30,Cargas!$B$3:$I$93,7,FALSE),0)</f>
        <v>0</v>
      </c>
      <c r="AB30" s="123">
        <f t="shared" si="3"/>
        <v>0</v>
      </c>
      <c r="AC30" s="123">
        <f t="shared" si="0"/>
        <v>0</v>
      </c>
      <c r="AD30" s="123">
        <f t="shared" si="0"/>
        <v>0</v>
      </c>
      <c r="AE30" s="123">
        <f t="shared" si="0"/>
        <v>0</v>
      </c>
      <c r="AF30" s="123">
        <f t="shared" si="0"/>
        <v>0</v>
      </c>
      <c r="AG30" s="123">
        <f t="shared" si="0"/>
        <v>0</v>
      </c>
      <c r="AH30" s="122">
        <f t="shared" si="1"/>
        <v>0</v>
      </c>
    </row>
    <row r="31" spans="1:34" s="75" customFormat="1" ht="15.75">
      <c r="A31" s="125">
        <v>16</v>
      </c>
      <c r="B31" s="76"/>
      <c r="C31" s="126" t="s">
        <v>107</v>
      </c>
      <c r="D31" s="263"/>
      <c r="E31" s="263">
        <f t="shared" si="2"/>
        <v>0</v>
      </c>
      <c r="F31" s="263"/>
      <c r="G31" s="263"/>
      <c r="H31" s="263">
        <f>IFERROR(VLOOKUP(A31,Cargas!$B$3:$I$93,3,FALSE),0)</f>
        <v>0</v>
      </c>
      <c r="I31" s="263">
        <f>IFERROR(VLOOKUP(A31,Cargas!$B$3:$I$93,4,FALSE),0)</f>
        <v>0</v>
      </c>
      <c r="J31" s="263">
        <f>IFERROR(VLOOKUP(A31,Cargas!$B$3:$I$93,5,FALSE),0)</f>
        <v>0</v>
      </c>
      <c r="K31" s="263">
        <f>IFERROR(VLOOKUP(A31,Cargas!$B$3:$I$93,6,FALSE),0)</f>
        <v>0</v>
      </c>
      <c r="L31" s="263">
        <f>IFERROR(VLOOKUP(A31,Cargas!$B$3:$I$93,7,FALSE),0)</f>
        <v>0</v>
      </c>
      <c r="AB31" s="123">
        <f t="shared" si="3"/>
        <v>0</v>
      </c>
      <c r="AC31" s="123">
        <f t="shared" si="0"/>
        <v>0</v>
      </c>
      <c r="AD31" s="123">
        <f t="shared" si="0"/>
        <v>0</v>
      </c>
      <c r="AE31" s="123">
        <f t="shared" si="0"/>
        <v>0</v>
      </c>
      <c r="AF31" s="123">
        <f t="shared" si="0"/>
        <v>0</v>
      </c>
      <c r="AG31" s="123">
        <f t="shared" si="0"/>
        <v>0</v>
      </c>
      <c r="AH31" s="122">
        <f t="shared" si="1"/>
        <v>0</v>
      </c>
    </row>
    <row r="32" spans="1:34" s="74" customFormat="1" ht="15.75">
      <c r="A32" s="125">
        <v>17</v>
      </c>
      <c r="B32" s="76"/>
      <c r="C32" s="126" t="s">
        <v>85</v>
      </c>
      <c r="D32" s="272"/>
      <c r="E32" s="263">
        <f t="shared" si="2"/>
        <v>0</v>
      </c>
      <c r="F32" s="263"/>
      <c r="G32" s="263"/>
      <c r="H32" s="263">
        <f>IFERROR(VLOOKUP(A32,Cargas!$B$3:$I$93,3,FALSE),0)</f>
        <v>0</v>
      </c>
      <c r="I32" s="263">
        <f>IFERROR(VLOOKUP(A32,Cargas!$B$3:$I$93,4,FALSE),0)</f>
        <v>0</v>
      </c>
      <c r="J32" s="263">
        <f>IFERROR(VLOOKUP(A32,Cargas!$B$3:$I$93,5,FALSE),0)</f>
        <v>0</v>
      </c>
      <c r="K32" s="263">
        <f>IFERROR(VLOOKUP(A32,Cargas!$B$3:$I$93,6,FALSE),0)</f>
        <v>0</v>
      </c>
      <c r="L32" s="263">
        <f>IFERROR(VLOOKUP(A32,Cargas!$B$3:$I$93,7,FALSE),0)</f>
        <v>0</v>
      </c>
      <c r="AB32" s="123">
        <f t="shared" si="3"/>
        <v>0</v>
      </c>
      <c r="AC32" s="123">
        <f t="shared" si="3"/>
        <v>0</v>
      </c>
      <c r="AD32" s="123">
        <f t="shared" si="3"/>
        <v>0</v>
      </c>
      <c r="AE32" s="123">
        <f t="shared" si="3"/>
        <v>0</v>
      </c>
      <c r="AF32" s="123">
        <f t="shared" si="3"/>
        <v>0</v>
      </c>
      <c r="AG32" s="123">
        <f t="shared" si="3"/>
        <v>0</v>
      </c>
      <c r="AH32" s="122">
        <f t="shared" si="1"/>
        <v>0</v>
      </c>
    </row>
    <row r="33" spans="1:34" s="75" customFormat="1" ht="15.75">
      <c r="A33" s="125">
        <v>18</v>
      </c>
      <c r="B33" s="76"/>
      <c r="C33" s="126" t="s">
        <v>224</v>
      </c>
      <c r="D33" s="272"/>
      <c r="E33" s="263">
        <f t="shared" si="2"/>
        <v>0</v>
      </c>
      <c r="F33" s="263"/>
      <c r="G33" s="263"/>
      <c r="H33" s="263">
        <f>IFERROR(VLOOKUP(A33,Cargas!$B$3:$I$93,3,FALSE),0)</f>
        <v>0</v>
      </c>
      <c r="I33" s="263">
        <f>IFERROR(VLOOKUP(A33,Cargas!$B$3:$I$93,4,FALSE),0)</f>
        <v>0</v>
      </c>
      <c r="J33" s="263">
        <f>IFERROR(VLOOKUP(A33,Cargas!$B$3:$I$93,5,FALSE),0)</f>
        <v>0</v>
      </c>
      <c r="K33" s="263">
        <f>IFERROR(VLOOKUP(A33,Cargas!$B$3:$I$93,6,FALSE),0)</f>
        <v>0</v>
      </c>
      <c r="L33" s="263">
        <f>IFERROR(VLOOKUP(A33,Cargas!$B$3:$I$93,7,FALSE),0)</f>
        <v>0</v>
      </c>
      <c r="AB33" s="123">
        <f t="shared" si="3"/>
        <v>0</v>
      </c>
      <c r="AC33" s="123">
        <f t="shared" si="3"/>
        <v>0</v>
      </c>
      <c r="AD33" s="123">
        <f t="shared" si="3"/>
        <v>0</v>
      </c>
      <c r="AE33" s="123">
        <f t="shared" si="3"/>
        <v>0</v>
      </c>
      <c r="AF33" s="123">
        <f t="shared" si="3"/>
        <v>0</v>
      </c>
      <c r="AG33" s="123">
        <f t="shared" si="3"/>
        <v>0</v>
      </c>
      <c r="AH33" s="122">
        <f t="shared" si="1"/>
        <v>0</v>
      </c>
    </row>
    <row r="34" spans="1:34" s="75" customFormat="1" ht="15.75">
      <c r="A34" s="125">
        <v>21</v>
      </c>
      <c r="B34" s="76"/>
      <c r="C34" s="126" t="s">
        <v>252</v>
      </c>
      <c r="D34" s="272"/>
      <c r="E34" s="263">
        <f t="shared" si="2"/>
        <v>0</v>
      </c>
      <c r="F34" s="263"/>
      <c r="G34" s="263"/>
      <c r="H34" s="263">
        <f>IFERROR(VLOOKUP(A34,Cargas!$B$3:$I$93,3,FALSE),0)</f>
        <v>0</v>
      </c>
      <c r="I34" s="263">
        <f>IFERROR(VLOOKUP(A34,Cargas!$B$3:$I$93,4,FALSE),0)</f>
        <v>0</v>
      </c>
      <c r="J34" s="263">
        <f>IFERROR(VLOOKUP(A34,Cargas!$B$3:$I$93,5,FALSE),0)</f>
        <v>0</v>
      </c>
      <c r="K34" s="263">
        <f>IFERROR(VLOOKUP(A34,Cargas!$B$3:$I$93,6,FALSE),0)</f>
        <v>0</v>
      </c>
      <c r="L34" s="263">
        <f>IFERROR(VLOOKUP(A34,Cargas!$B$3:$I$93,7,FALSE),0)</f>
        <v>0</v>
      </c>
      <c r="AB34" s="123">
        <f t="shared" si="3"/>
        <v>0</v>
      </c>
      <c r="AC34" s="123">
        <f t="shared" si="3"/>
        <v>0</v>
      </c>
      <c r="AD34" s="123">
        <f t="shared" si="3"/>
        <v>0</v>
      </c>
      <c r="AE34" s="123">
        <f t="shared" si="3"/>
        <v>0</v>
      </c>
      <c r="AF34" s="123">
        <f t="shared" si="3"/>
        <v>0</v>
      </c>
      <c r="AG34" s="123">
        <f t="shared" si="3"/>
        <v>0</v>
      </c>
      <c r="AH34" s="122">
        <f t="shared" si="1"/>
        <v>0</v>
      </c>
    </row>
    <row r="35" spans="1:34" s="74" customFormat="1" ht="15.75">
      <c r="A35" s="125">
        <v>22</v>
      </c>
      <c r="B35" s="76"/>
      <c r="C35" s="127" t="s">
        <v>251</v>
      </c>
      <c r="D35" s="273"/>
      <c r="E35" s="263">
        <f t="shared" si="2"/>
        <v>0</v>
      </c>
      <c r="F35" s="263"/>
      <c r="G35" s="263"/>
      <c r="H35" s="263">
        <f>IFERROR(VLOOKUP(A35,Cargas!$B$3:$I$93,3,FALSE),0)</f>
        <v>0</v>
      </c>
      <c r="I35" s="263">
        <f>IFERROR(VLOOKUP(A35,Cargas!$B$3:$I$93,4,FALSE),0)</f>
        <v>0</v>
      </c>
      <c r="J35" s="263">
        <f>IFERROR(VLOOKUP(A35,Cargas!$B$3:$I$93,5,FALSE),0)</f>
        <v>0</v>
      </c>
      <c r="K35" s="263">
        <f>IFERROR(VLOOKUP(A35,Cargas!$B$3:$I$93,6,FALSE),0)</f>
        <v>0</v>
      </c>
      <c r="L35" s="263">
        <f>IFERROR(VLOOKUP(A35,Cargas!$B$3:$I$93,7,FALSE),0)</f>
        <v>0</v>
      </c>
      <c r="AB35" s="123">
        <f t="shared" si="3"/>
        <v>0</v>
      </c>
      <c r="AC35" s="123">
        <f t="shared" si="3"/>
        <v>0</v>
      </c>
      <c r="AD35" s="123">
        <f t="shared" si="3"/>
        <v>0</v>
      </c>
      <c r="AE35" s="123">
        <f t="shared" si="3"/>
        <v>0</v>
      </c>
      <c r="AF35" s="123">
        <f t="shared" si="3"/>
        <v>0</v>
      </c>
      <c r="AG35" s="123">
        <f t="shared" si="3"/>
        <v>0</v>
      </c>
      <c r="AH35" s="122">
        <f t="shared" si="1"/>
        <v>0</v>
      </c>
    </row>
    <row r="36" spans="1:34" s="75" customFormat="1" ht="15.75">
      <c r="A36" s="125">
        <v>23</v>
      </c>
      <c r="B36" s="73"/>
      <c r="C36" s="126" t="s">
        <v>19</v>
      </c>
      <c r="D36" s="263"/>
      <c r="E36" s="263">
        <f t="shared" si="2"/>
        <v>0</v>
      </c>
      <c r="F36" s="263"/>
      <c r="G36" s="263"/>
      <c r="H36" s="263">
        <f>IFERROR(VLOOKUP(A36,Cargas!$B$3:$I$93,3,FALSE),0)</f>
        <v>0</v>
      </c>
      <c r="I36" s="263">
        <f>IFERROR(VLOOKUP(A36,Cargas!$B$3:$I$93,4,FALSE),0)</f>
        <v>0</v>
      </c>
      <c r="J36" s="263">
        <f>IFERROR(VLOOKUP(A36,Cargas!$B$3:$I$93,5,FALSE),0)</f>
        <v>0</v>
      </c>
      <c r="K36" s="263">
        <f>IFERROR(VLOOKUP(A36,Cargas!$B$3:$I$93,6,FALSE),0)</f>
        <v>0</v>
      </c>
      <c r="L36" s="263">
        <f>IFERROR(VLOOKUP(A36,Cargas!$B$3:$I$93,7,FALSE),0)</f>
        <v>0</v>
      </c>
      <c r="AB36" s="123">
        <f t="shared" si="3"/>
        <v>0</v>
      </c>
      <c r="AC36" s="123">
        <f t="shared" si="3"/>
        <v>0</v>
      </c>
      <c r="AD36" s="123">
        <f t="shared" si="3"/>
        <v>0</v>
      </c>
      <c r="AE36" s="123">
        <f t="shared" si="3"/>
        <v>0</v>
      </c>
      <c r="AF36" s="123">
        <f t="shared" si="3"/>
        <v>0</v>
      </c>
      <c r="AG36" s="123">
        <f t="shared" si="3"/>
        <v>0</v>
      </c>
      <c r="AH36" s="122">
        <f t="shared" si="1"/>
        <v>0</v>
      </c>
    </row>
    <row r="37" spans="1:34" s="75" customFormat="1" ht="15.75">
      <c r="A37" s="125">
        <v>24</v>
      </c>
      <c r="B37" s="73"/>
      <c r="C37" s="126" t="s">
        <v>20</v>
      </c>
      <c r="D37" s="263"/>
      <c r="E37" s="263">
        <f t="shared" si="2"/>
        <v>0</v>
      </c>
      <c r="F37" s="263"/>
      <c r="G37" s="263"/>
      <c r="H37" s="263">
        <f>IFERROR(VLOOKUP(A37,Cargas!$B$3:$I$93,3,FALSE),0)</f>
        <v>0</v>
      </c>
      <c r="I37" s="263">
        <f>IFERROR(VLOOKUP(A37,Cargas!$B$3:$I$93,4,FALSE),0)</f>
        <v>0</v>
      </c>
      <c r="J37" s="263">
        <f>IFERROR(VLOOKUP(A37,Cargas!$B$3:$I$93,5,FALSE),0)</f>
        <v>0</v>
      </c>
      <c r="K37" s="263">
        <f>IFERROR(VLOOKUP(A37,Cargas!$B$3:$I$93,6,FALSE),0)</f>
        <v>0</v>
      </c>
      <c r="L37" s="263">
        <f>IFERROR(VLOOKUP(A37,Cargas!$B$3:$I$93,7,FALSE),0)</f>
        <v>0</v>
      </c>
      <c r="AB37" s="123">
        <f t="shared" si="3"/>
        <v>0</v>
      </c>
      <c r="AC37" s="123">
        <f t="shared" si="3"/>
        <v>0</v>
      </c>
      <c r="AD37" s="123">
        <f t="shared" si="3"/>
        <v>0</v>
      </c>
      <c r="AE37" s="123">
        <f t="shared" si="3"/>
        <v>0</v>
      </c>
      <c r="AF37" s="123">
        <f t="shared" si="3"/>
        <v>0</v>
      </c>
      <c r="AG37" s="123">
        <f t="shared" si="3"/>
        <v>0</v>
      </c>
      <c r="AH37" s="122">
        <f t="shared" si="1"/>
        <v>0</v>
      </c>
    </row>
    <row r="38" spans="1:34" s="75" customFormat="1" ht="15.75">
      <c r="A38" s="125">
        <v>25</v>
      </c>
      <c r="B38" s="73"/>
      <c r="C38" s="126" t="s">
        <v>21</v>
      </c>
      <c r="D38" s="263"/>
      <c r="E38" s="263">
        <f t="shared" si="2"/>
        <v>0</v>
      </c>
      <c r="F38" s="263"/>
      <c r="G38" s="263"/>
      <c r="H38" s="263">
        <f>IFERROR(VLOOKUP(A38,Cargas!$B$3:$I$93,3,FALSE),0)</f>
        <v>0</v>
      </c>
      <c r="I38" s="263">
        <f>IFERROR(VLOOKUP(A38,Cargas!$B$3:$I$93,4,FALSE),0)</f>
        <v>0</v>
      </c>
      <c r="J38" s="263">
        <f>IFERROR(VLOOKUP(A38,Cargas!$B$3:$I$93,5,FALSE),0)</f>
        <v>0</v>
      </c>
      <c r="K38" s="263">
        <f>IFERROR(VLOOKUP(A38,Cargas!$B$3:$I$93,6,FALSE),0)</f>
        <v>0</v>
      </c>
      <c r="L38" s="263">
        <f>IFERROR(VLOOKUP(A38,Cargas!$B$3:$I$93,7,FALSE),0)</f>
        <v>0</v>
      </c>
      <c r="AB38" s="123">
        <f t="shared" si="3"/>
        <v>0</v>
      </c>
      <c r="AC38" s="123">
        <f t="shared" si="3"/>
        <v>0</v>
      </c>
      <c r="AD38" s="123">
        <f t="shared" si="3"/>
        <v>0</v>
      </c>
      <c r="AE38" s="123">
        <f t="shared" si="3"/>
        <v>0</v>
      </c>
      <c r="AF38" s="123">
        <f t="shared" si="3"/>
        <v>0</v>
      </c>
      <c r="AG38" s="123">
        <f t="shared" si="3"/>
        <v>0</v>
      </c>
      <c r="AH38" s="122">
        <f t="shared" si="1"/>
        <v>0</v>
      </c>
    </row>
    <row r="39" spans="1:34" s="75" customFormat="1" ht="15.75">
      <c r="A39" s="125">
        <v>26</v>
      </c>
      <c r="B39" s="73"/>
      <c r="C39" s="127" t="s">
        <v>22</v>
      </c>
      <c r="D39" s="263"/>
      <c r="E39" s="263">
        <f t="shared" si="2"/>
        <v>0</v>
      </c>
      <c r="F39" s="263"/>
      <c r="G39" s="263"/>
      <c r="H39" s="263">
        <f>IFERROR(VLOOKUP(A39,Cargas!$B$3:$I$93,3,FALSE),0)</f>
        <v>0</v>
      </c>
      <c r="I39" s="263">
        <f>IFERROR(VLOOKUP(A39,Cargas!$B$3:$I$93,4,FALSE),0)</f>
        <v>0</v>
      </c>
      <c r="J39" s="263">
        <f>IFERROR(VLOOKUP(A39,Cargas!$B$3:$I$93,5,FALSE),0)</f>
        <v>0</v>
      </c>
      <c r="K39" s="263">
        <f>IFERROR(VLOOKUP(A39,Cargas!$B$3:$I$93,6,FALSE),0)</f>
        <v>0</v>
      </c>
      <c r="L39" s="263">
        <f>IFERROR(VLOOKUP(A39,Cargas!$B$3:$I$93,7,FALSE),0)</f>
        <v>0</v>
      </c>
      <c r="AB39" s="123">
        <f t="shared" si="3"/>
        <v>0</v>
      </c>
      <c r="AC39" s="123">
        <f t="shared" si="3"/>
        <v>0</v>
      </c>
      <c r="AD39" s="123">
        <f t="shared" si="3"/>
        <v>0</v>
      </c>
      <c r="AE39" s="123">
        <f t="shared" si="3"/>
        <v>0</v>
      </c>
      <c r="AF39" s="123">
        <f t="shared" si="3"/>
        <v>0</v>
      </c>
      <c r="AG39" s="123">
        <f t="shared" si="3"/>
        <v>0</v>
      </c>
      <c r="AH39" s="122">
        <f t="shared" si="1"/>
        <v>0</v>
      </c>
    </row>
    <row r="40" spans="1:34" s="74" customFormat="1" ht="15.75">
      <c r="A40" s="125">
        <v>27</v>
      </c>
      <c r="B40" s="73"/>
      <c r="C40" s="126" t="s">
        <v>23</v>
      </c>
      <c r="D40" s="263"/>
      <c r="E40" s="263">
        <f t="shared" si="2"/>
        <v>0</v>
      </c>
      <c r="F40" s="263"/>
      <c r="G40" s="263"/>
      <c r="H40" s="263">
        <f>IFERROR(VLOOKUP(A40,Cargas!$B$3:$I$93,3,FALSE),0)</f>
        <v>0</v>
      </c>
      <c r="I40" s="263">
        <f>IFERROR(VLOOKUP(A40,Cargas!$B$3:$I$93,4,FALSE),0)</f>
        <v>0</v>
      </c>
      <c r="J40" s="263">
        <f>IFERROR(VLOOKUP(A40,Cargas!$B$3:$I$93,5,FALSE),0)</f>
        <v>0</v>
      </c>
      <c r="K40" s="263">
        <f>IFERROR(VLOOKUP(A40,Cargas!$B$3:$I$93,6,FALSE),0)</f>
        <v>0</v>
      </c>
      <c r="L40" s="263">
        <f>IFERROR(VLOOKUP(A40,Cargas!$B$3:$I$93,7,FALSE),0)</f>
        <v>0</v>
      </c>
      <c r="AB40" s="123">
        <f t="shared" si="3"/>
        <v>0</v>
      </c>
      <c r="AC40" s="123">
        <f t="shared" si="3"/>
        <v>0</v>
      </c>
      <c r="AD40" s="123">
        <f t="shared" si="3"/>
        <v>0</v>
      </c>
      <c r="AE40" s="123">
        <f t="shared" si="3"/>
        <v>0</v>
      </c>
      <c r="AF40" s="123">
        <f t="shared" si="3"/>
        <v>0</v>
      </c>
      <c r="AG40" s="123">
        <f t="shared" si="3"/>
        <v>0</v>
      </c>
      <c r="AH40" s="122">
        <f t="shared" si="1"/>
        <v>0</v>
      </c>
    </row>
    <row r="41" spans="1:34" s="75" customFormat="1" ht="15.75">
      <c r="A41" s="125">
        <v>28</v>
      </c>
      <c r="B41" s="73"/>
      <c r="C41" s="126" t="s">
        <v>24</v>
      </c>
      <c r="D41" s="263"/>
      <c r="E41" s="263">
        <f t="shared" si="2"/>
        <v>0</v>
      </c>
      <c r="F41" s="263"/>
      <c r="G41" s="263"/>
      <c r="H41" s="263">
        <f>IFERROR(VLOOKUP(A41,Cargas!$B$3:$I$93,3,FALSE),0)</f>
        <v>0</v>
      </c>
      <c r="I41" s="263">
        <f>IFERROR(VLOOKUP(A41,Cargas!$B$3:$I$93,4,FALSE),0)</f>
        <v>0</v>
      </c>
      <c r="J41" s="263">
        <f>IFERROR(VLOOKUP(A41,Cargas!$B$3:$I$93,5,FALSE),0)</f>
        <v>0</v>
      </c>
      <c r="K41" s="263">
        <f>IFERROR(VLOOKUP(A41,Cargas!$B$3:$I$93,6,FALSE),0)</f>
        <v>0</v>
      </c>
      <c r="L41" s="263">
        <f>IFERROR(VLOOKUP(A41,Cargas!$B$3:$I$93,7,FALSE),0)</f>
        <v>0</v>
      </c>
      <c r="AB41" s="123">
        <f t="shared" si="3"/>
        <v>0</v>
      </c>
      <c r="AC41" s="123">
        <f t="shared" si="3"/>
        <v>0</v>
      </c>
      <c r="AD41" s="123">
        <f t="shared" si="3"/>
        <v>0</v>
      </c>
      <c r="AE41" s="123">
        <f t="shared" si="3"/>
        <v>0</v>
      </c>
      <c r="AF41" s="123">
        <f t="shared" si="3"/>
        <v>0</v>
      </c>
      <c r="AG41" s="123">
        <f t="shared" si="3"/>
        <v>0</v>
      </c>
      <c r="AH41" s="122">
        <f t="shared" si="1"/>
        <v>0</v>
      </c>
    </row>
    <row r="42" spans="1:34" s="75" customFormat="1" ht="15.75">
      <c r="A42" s="125">
        <v>29</v>
      </c>
      <c r="B42" s="73"/>
      <c r="C42" s="127" t="s">
        <v>159</v>
      </c>
      <c r="D42" s="271" t="s">
        <v>291</v>
      </c>
      <c r="E42" s="263">
        <f t="shared" si="2"/>
        <v>0</v>
      </c>
      <c r="F42" s="263"/>
      <c r="G42" s="263"/>
      <c r="H42" s="263">
        <f>IFERROR(VLOOKUP(A42,Cargas!$B$3:$I$93,3,FALSE),0)</f>
        <v>0</v>
      </c>
      <c r="I42" s="263">
        <f>IFERROR(VLOOKUP(A42,Cargas!$B$3:$I$93,4,FALSE),0)</f>
        <v>0</v>
      </c>
      <c r="J42" s="263">
        <f>IFERROR(VLOOKUP(A42,Cargas!$B$3:$I$93,5,FALSE),0)</f>
        <v>0</v>
      </c>
      <c r="K42" s="263">
        <f>IFERROR(VLOOKUP(A42,Cargas!$B$3:$I$93,6,FALSE),0)</f>
        <v>0</v>
      </c>
      <c r="L42" s="263">
        <f>IFERROR(VLOOKUP(A42,Cargas!$B$3:$I$93,7,FALSE),0)</f>
        <v>0</v>
      </c>
      <c r="AB42" s="123">
        <f t="shared" si="3"/>
        <v>0</v>
      </c>
      <c r="AC42" s="123">
        <f t="shared" si="3"/>
        <v>0</v>
      </c>
      <c r="AD42" s="123">
        <f t="shared" si="3"/>
        <v>0</v>
      </c>
      <c r="AE42" s="123">
        <f t="shared" si="3"/>
        <v>0</v>
      </c>
      <c r="AF42" s="123">
        <f t="shared" si="3"/>
        <v>0</v>
      </c>
      <c r="AG42" s="123">
        <f t="shared" si="3"/>
        <v>0</v>
      </c>
      <c r="AH42" s="122">
        <f t="shared" si="1"/>
        <v>0</v>
      </c>
    </row>
    <row r="43" spans="1:34" s="75" customFormat="1" ht="15.75">
      <c r="A43" s="125">
        <v>31</v>
      </c>
      <c r="B43" s="73"/>
      <c r="C43" s="127" t="s">
        <v>225</v>
      </c>
      <c r="D43" s="263"/>
      <c r="E43" s="263">
        <f t="shared" si="2"/>
        <v>0</v>
      </c>
      <c r="F43" s="263"/>
      <c r="G43" s="263"/>
      <c r="H43" s="263">
        <f>IFERROR(VLOOKUP(A43,Cargas!$B$3:$I$93,3,FALSE),0)</f>
        <v>0</v>
      </c>
      <c r="I43" s="263">
        <f>IFERROR(VLOOKUP(A43,Cargas!$B$3:$I$93,4,FALSE),0)</f>
        <v>0</v>
      </c>
      <c r="J43" s="263">
        <f>IFERROR(VLOOKUP(A43,Cargas!$B$3:$I$93,5,FALSE),0)</f>
        <v>0</v>
      </c>
      <c r="K43" s="263">
        <f>IFERROR(VLOOKUP(A43,Cargas!$B$3:$I$93,6,FALSE),0)</f>
        <v>0</v>
      </c>
      <c r="L43" s="263">
        <f>IFERROR(VLOOKUP(A43,Cargas!$B$3:$I$93,7,FALSE),0)</f>
        <v>0</v>
      </c>
      <c r="AB43" s="123">
        <f t="shared" si="3"/>
        <v>0</v>
      </c>
      <c r="AC43" s="123">
        <f t="shared" si="3"/>
        <v>0</v>
      </c>
      <c r="AD43" s="123">
        <f t="shared" si="3"/>
        <v>0</v>
      </c>
      <c r="AE43" s="123">
        <f t="shared" si="3"/>
        <v>0</v>
      </c>
      <c r="AF43" s="123">
        <f t="shared" si="3"/>
        <v>0</v>
      </c>
      <c r="AG43" s="123">
        <f t="shared" si="3"/>
        <v>0</v>
      </c>
      <c r="AH43" s="122">
        <f t="shared" si="1"/>
        <v>0</v>
      </c>
    </row>
    <row r="44" spans="1:34" s="75" customFormat="1" ht="15.75">
      <c r="A44" s="125">
        <v>32</v>
      </c>
      <c r="B44" s="73"/>
      <c r="C44" s="126" t="s">
        <v>133</v>
      </c>
      <c r="D44" s="263"/>
      <c r="E44" s="263">
        <f t="shared" si="2"/>
        <v>0</v>
      </c>
      <c r="F44" s="263"/>
      <c r="G44" s="263"/>
      <c r="H44" s="263">
        <f>IFERROR(VLOOKUP(A44,Cargas!$B$3:$I$93,3,FALSE),0)</f>
        <v>0</v>
      </c>
      <c r="I44" s="263">
        <f>IFERROR(VLOOKUP(A44,Cargas!$B$3:$I$93,4,FALSE),0)</f>
        <v>0</v>
      </c>
      <c r="J44" s="263">
        <f>IFERROR(VLOOKUP(A44,Cargas!$B$3:$I$93,5,FALSE),0)</f>
        <v>0</v>
      </c>
      <c r="K44" s="263">
        <f>IFERROR(VLOOKUP(A44,Cargas!$B$3:$I$93,6,FALSE),0)</f>
        <v>0</v>
      </c>
      <c r="L44" s="263">
        <f>IFERROR(VLOOKUP(A44,Cargas!$B$3:$I$93,7,FALSE),0)</f>
        <v>0</v>
      </c>
      <c r="AB44" s="123">
        <f t="shared" si="3"/>
        <v>0</v>
      </c>
      <c r="AC44" s="123">
        <f t="shared" si="3"/>
        <v>0</v>
      </c>
      <c r="AD44" s="123">
        <f t="shared" si="3"/>
        <v>0</v>
      </c>
      <c r="AE44" s="123">
        <f t="shared" si="3"/>
        <v>0</v>
      </c>
      <c r="AF44" s="123">
        <f t="shared" si="3"/>
        <v>0</v>
      </c>
      <c r="AG44" s="123">
        <f t="shared" si="3"/>
        <v>0</v>
      </c>
      <c r="AH44" s="122">
        <f t="shared" si="1"/>
        <v>0</v>
      </c>
    </row>
    <row r="45" spans="1:34" s="75" customFormat="1" ht="15.75">
      <c r="A45" s="125">
        <v>33</v>
      </c>
      <c r="B45" s="73"/>
      <c r="C45" s="127" t="s">
        <v>226</v>
      </c>
      <c r="D45" s="271"/>
      <c r="E45" s="263">
        <f t="shared" si="2"/>
        <v>0</v>
      </c>
      <c r="F45" s="263"/>
      <c r="G45" s="263"/>
      <c r="H45" s="263">
        <f>IFERROR(VLOOKUP(A45,Cargas!$B$3:$I$93,3,FALSE),0)</f>
        <v>0</v>
      </c>
      <c r="I45" s="263">
        <f>IFERROR(VLOOKUP(A45,Cargas!$B$3:$I$93,4,FALSE),0)</f>
        <v>0</v>
      </c>
      <c r="J45" s="263">
        <f>IFERROR(VLOOKUP(A45,Cargas!$B$3:$I$93,5,FALSE),0)</f>
        <v>0</v>
      </c>
      <c r="K45" s="263">
        <f>IFERROR(VLOOKUP(A45,Cargas!$B$3:$I$93,6,FALSE),0)</f>
        <v>0</v>
      </c>
      <c r="L45" s="263">
        <f>IFERROR(VLOOKUP(A45,Cargas!$B$3:$I$93,7,FALSE),0)</f>
        <v>0</v>
      </c>
      <c r="AB45" s="123">
        <f t="shared" si="3"/>
        <v>0</v>
      </c>
      <c r="AC45" s="123">
        <f t="shared" si="3"/>
        <v>0</v>
      </c>
      <c r="AD45" s="123">
        <f t="shared" si="3"/>
        <v>0</v>
      </c>
      <c r="AE45" s="123">
        <f t="shared" si="3"/>
        <v>0</v>
      </c>
      <c r="AF45" s="123">
        <f t="shared" si="3"/>
        <v>0</v>
      </c>
      <c r="AG45" s="123">
        <f t="shared" si="3"/>
        <v>0</v>
      </c>
      <c r="AH45" s="122">
        <f t="shared" si="1"/>
        <v>0</v>
      </c>
    </row>
    <row r="46" spans="1:34" s="75" customFormat="1" ht="15.75">
      <c r="A46" s="125">
        <v>34</v>
      </c>
      <c r="B46" s="73"/>
      <c r="C46" s="127" t="s">
        <v>242</v>
      </c>
      <c r="D46" s="271"/>
      <c r="E46" s="263">
        <f t="shared" si="2"/>
        <v>0</v>
      </c>
      <c r="F46" s="263"/>
      <c r="G46" s="263"/>
      <c r="H46" s="263">
        <f>IFERROR(VLOOKUP(A46,Cargas!$B$3:$I$93,3,FALSE),0)</f>
        <v>0</v>
      </c>
      <c r="I46" s="263">
        <f>IFERROR(VLOOKUP(A46,Cargas!$B$3:$I$93,4,FALSE),0)</f>
        <v>0</v>
      </c>
      <c r="J46" s="263">
        <f>IFERROR(VLOOKUP(A46,Cargas!$B$3:$I$93,5,FALSE),0)</f>
        <v>0</v>
      </c>
      <c r="K46" s="263">
        <f>IFERROR(VLOOKUP(A46,Cargas!$B$3:$I$93,6,FALSE),0)</f>
        <v>0</v>
      </c>
      <c r="L46" s="263">
        <f>IFERROR(VLOOKUP(A46,Cargas!$B$3:$I$93,7,FALSE),0)</f>
        <v>0</v>
      </c>
      <c r="AB46" s="123">
        <f t="shared" si="3"/>
        <v>0</v>
      </c>
      <c r="AC46" s="123">
        <f t="shared" si="3"/>
        <v>0</v>
      </c>
      <c r="AD46" s="123">
        <f t="shared" si="3"/>
        <v>0</v>
      </c>
      <c r="AE46" s="123">
        <f t="shared" si="3"/>
        <v>0</v>
      </c>
      <c r="AF46" s="123">
        <f t="shared" si="3"/>
        <v>0</v>
      </c>
      <c r="AG46" s="123">
        <f t="shared" si="3"/>
        <v>0</v>
      </c>
      <c r="AH46" s="122">
        <f t="shared" si="1"/>
        <v>0</v>
      </c>
    </row>
    <row r="47" spans="1:34" s="75" customFormat="1" ht="15.75">
      <c r="A47" s="125">
        <v>35</v>
      </c>
      <c r="B47" s="73"/>
      <c r="C47" s="127" t="s">
        <v>227</v>
      </c>
      <c r="D47" s="271"/>
      <c r="E47" s="263">
        <f t="shared" si="2"/>
        <v>0</v>
      </c>
      <c r="F47" s="263"/>
      <c r="G47" s="263"/>
      <c r="H47" s="263">
        <f>IFERROR(VLOOKUP(A47,Cargas!$B$3:$I$93,3,FALSE),0)</f>
        <v>0</v>
      </c>
      <c r="I47" s="263">
        <f>IFERROR(VLOOKUP(A47,Cargas!$B$3:$I$93,4,FALSE),0)</f>
        <v>0</v>
      </c>
      <c r="J47" s="263">
        <f>IFERROR(VLOOKUP(A47,Cargas!$B$3:$I$93,5,FALSE),0)</f>
        <v>0</v>
      </c>
      <c r="K47" s="263">
        <f>IFERROR(VLOOKUP(A47,Cargas!$B$3:$I$93,6,FALSE),0)</f>
        <v>0</v>
      </c>
      <c r="L47" s="263">
        <f>IFERROR(VLOOKUP(A47,Cargas!$B$3:$I$93,7,FALSE),0)</f>
        <v>0</v>
      </c>
      <c r="AB47" s="123">
        <f t="shared" si="3"/>
        <v>0</v>
      </c>
      <c r="AC47" s="123">
        <f t="shared" si="3"/>
        <v>0</v>
      </c>
      <c r="AD47" s="123">
        <f t="shared" si="3"/>
        <v>0</v>
      </c>
      <c r="AE47" s="123">
        <f t="shared" si="3"/>
        <v>0</v>
      </c>
      <c r="AF47" s="123">
        <f t="shared" si="3"/>
        <v>0</v>
      </c>
      <c r="AG47" s="123">
        <f t="shared" si="3"/>
        <v>0</v>
      </c>
      <c r="AH47" s="122">
        <f t="shared" si="1"/>
        <v>0</v>
      </c>
    </row>
    <row r="48" spans="1:34" s="75" customFormat="1" ht="15.75">
      <c r="A48" s="125">
        <v>36</v>
      </c>
      <c r="B48" s="73"/>
      <c r="C48" s="126" t="s">
        <v>161</v>
      </c>
      <c r="D48" s="263"/>
      <c r="E48" s="263">
        <f t="shared" si="2"/>
        <v>0</v>
      </c>
      <c r="F48" s="263"/>
      <c r="G48" s="263"/>
      <c r="H48" s="263">
        <f>IFERROR(VLOOKUP(A48,Cargas!$B$3:$I$93,3,FALSE),0)</f>
        <v>0</v>
      </c>
      <c r="I48" s="263">
        <f>IFERROR(VLOOKUP(A48,Cargas!$B$3:$I$93,4,FALSE),0)</f>
        <v>0</v>
      </c>
      <c r="J48" s="263">
        <f>IFERROR(VLOOKUP(A48,Cargas!$B$3:$I$93,5,FALSE),0)</f>
        <v>0</v>
      </c>
      <c r="K48" s="263">
        <f>IFERROR(VLOOKUP(A48,Cargas!$B$3:$I$93,6,FALSE),0)</f>
        <v>0</v>
      </c>
      <c r="L48" s="263">
        <f>IFERROR(VLOOKUP(A48,Cargas!$B$3:$I$93,7,FALSE),0)</f>
        <v>0</v>
      </c>
      <c r="AB48" s="123">
        <f t="shared" si="3"/>
        <v>0</v>
      </c>
      <c r="AC48" s="123">
        <f t="shared" si="3"/>
        <v>0</v>
      </c>
      <c r="AD48" s="123">
        <f t="shared" si="3"/>
        <v>0</v>
      </c>
      <c r="AE48" s="123">
        <f t="shared" si="3"/>
        <v>0</v>
      </c>
      <c r="AF48" s="123">
        <f t="shared" si="3"/>
        <v>0</v>
      </c>
      <c r="AG48" s="123">
        <f t="shared" si="3"/>
        <v>0</v>
      </c>
      <c r="AH48" s="122">
        <f t="shared" si="1"/>
        <v>0</v>
      </c>
    </row>
    <row r="49" spans="1:34" s="75" customFormat="1" ht="15.75">
      <c r="A49" s="125">
        <v>37</v>
      </c>
      <c r="B49" s="73"/>
      <c r="C49" s="126" t="s">
        <v>25</v>
      </c>
      <c r="D49" s="263"/>
      <c r="E49" s="263">
        <f t="shared" si="2"/>
        <v>0</v>
      </c>
      <c r="F49" s="263"/>
      <c r="G49" s="263"/>
      <c r="H49" s="263">
        <f>IFERROR(VLOOKUP(A49,Cargas!$B$3:$I$93,3,FALSE),0)</f>
        <v>0</v>
      </c>
      <c r="I49" s="263">
        <f>IFERROR(VLOOKUP(A49,Cargas!$B$3:$I$93,4,FALSE),0)</f>
        <v>0</v>
      </c>
      <c r="J49" s="263">
        <f>IFERROR(VLOOKUP(A49,Cargas!$B$3:$I$93,5,FALSE),0)</f>
        <v>0</v>
      </c>
      <c r="K49" s="263">
        <f>IFERROR(VLOOKUP(A49,Cargas!$B$3:$I$93,6,FALSE),0)</f>
        <v>0</v>
      </c>
      <c r="L49" s="263">
        <f>IFERROR(VLOOKUP(A49,Cargas!$B$3:$I$93,7,FALSE),0)</f>
        <v>0</v>
      </c>
      <c r="AB49" s="123">
        <f t="shared" si="3"/>
        <v>0</v>
      </c>
      <c r="AC49" s="123">
        <f t="shared" si="3"/>
        <v>0</v>
      </c>
      <c r="AD49" s="123">
        <f t="shared" si="3"/>
        <v>0</v>
      </c>
      <c r="AE49" s="123">
        <f t="shared" si="3"/>
        <v>0</v>
      </c>
      <c r="AF49" s="123">
        <f t="shared" si="3"/>
        <v>0</v>
      </c>
      <c r="AG49" s="123">
        <f t="shared" si="3"/>
        <v>0</v>
      </c>
      <c r="AH49" s="122">
        <f t="shared" si="1"/>
        <v>0</v>
      </c>
    </row>
    <row r="50" spans="1:34" s="75" customFormat="1" ht="15.75">
      <c r="A50" s="125">
        <v>38</v>
      </c>
      <c r="B50" s="73"/>
      <c r="C50" s="126" t="s">
        <v>228</v>
      </c>
      <c r="D50" s="263"/>
      <c r="E50" s="263">
        <f t="shared" si="2"/>
        <v>0</v>
      </c>
      <c r="F50" s="263"/>
      <c r="G50" s="263"/>
      <c r="H50" s="263">
        <f>IFERROR(VLOOKUP(A50,Cargas!$B$3:$I$93,3,FALSE),0)</f>
        <v>0</v>
      </c>
      <c r="I50" s="263">
        <f>IFERROR(VLOOKUP(A50,Cargas!$B$3:$I$93,4,FALSE),0)</f>
        <v>0</v>
      </c>
      <c r="J50" s="263">
        <f>IFERROR(VLOOKUP(A50,Cargas!$B$3:$I$93,5,FALSE),0)</f>
        <v>0</v>
      </c>
      <c r="K50" s="263">
        <f>IFERROR(VLOOKUP(A50,Cargas!$B$3:$I$93,6,FALSE),0)</f>
        <v>0</v>
      </c>
      <c r="L50" s="263">
        <f>IFERROR(VLOOKUP(A50,Cargas!$B$3:$I$93,7,FALSE),0)</f>
        <v>0</v>
      </c>
      <c r="AB50" s="123">
        <f t="shared" si="3"/>
        <v>0</v>
      </c>
      <c r="AC50" s="123">
        <f t="shared" si="3"/>
        <v>0</v>
      </c>
      <c r="AD50" s="123">
        <f t="shared" si="3"/>
        <v>0</v>
      </c>
      <c r="AE50" s="123">
        <f t="shared" si="3"/>
        <v>0</v>
      </c>
      <c r="AF50" s="123">
        <f t="shared" si="3"/>
        <v>0</v>
      </c>
      <c r="AG50" s="123">
        <f t="shared" si="3"/>
        <v>0</v>
      </c>
      <c r="AH50" s="122">
        <f t="shared" si="1"/>
        <v>0</v>
      </c>
    </row>
    <row r="51" spans="1:34" s="75" customFormat="1" ht="15.75">
      <c r="A51" s="125">
        <v>39</v>
      </c>
      <c r="B51" s="73"/>
      <c r="C51" s="126" t="s">
        <v>26</v>
      </c>
      <c r="D51" s="263"/>
      <c r="E51" s="263">
        <f t="shared" si="2"/>
        <v>0</v>
      </c>
      <c r="F51" s="263"/>
      <c r="G51" s="263"/>
      <c r="H51" s="263">
        <f>IFERROR(VLOOKUP(A51,Cargas!$B$3:$I$93,3,FALSE),0)</f>
        <v>0</v>
      </c>
      <c r="I51" s="263">
        <f>IFERROR(VLOOKUP(A51,Cargas!$B$3:$I$93,4,FALSE),0)</f>
        <v>0</v>
      </c>
      <c r="J51" s="263">
        <f>IFERROR(VLOOKUP(A51,Cargas!$B$3:$I$93,5,FALSE),0)</f>
        <v>0</v>
      </c>
      <c r="K51" s="263">
        <f>IFERROR(VLOOKUP(A51,Cargas!$B$3:$I$93,6,FALSE),0)</f>
        <v>0</v>
      </c>
      <c r="L51" s="263">
        <f>IFERROR(VLOOKUP(A51,Cargas!$B$3:$I$93,7,FALSE),0)</f>
        <v>0</v>
      </c>
      <c r="AB51" s="123">
        <f t="shared" si="3"/>
        <v>0</v>
      </c>
      <c r="AC51" s="123">
        <f t="shared" si="3"/>
        <v>0</v>
      </c>
      <c r="AD51" s="123">
        <f t="shared" si="3"/>
        <v>0</v>
      </c>
      <c r="AE51" s="123">
        <f t="shared" si="3"/>
        <v>0</v>
      </c>
      <c r="AF51" s="123">
        <f t="shared" si="3"/>
        <v>0</v>
      </c>
      <c r="AG51" s="123">
        <f t="shared" si="3"/>
        <v>0</v>
      </c>
      <c r="AH51" s="122">
        <f t="shared" si="1"/>
        <v>0</v>
      </c>
    </row>
    <row r="52" spans="1:34" s="75" customFormat="1" ht="15.75">
      <c r="A52" s="125">
        <v>40</v>
      </c>
      <c r="B52" s="76"/>
      <c r="C52" s="126" t="s">
        <v>101</v>
      </c>
      <c r="D52" s="263"/>
      <c r="E52" s="263">
        <f t="shared" si="2"/>
        <v>0</v>
      </c>
      <c r="F52" s="263"/>
      <c r="G52" s="263"/>
      <c r="H52" s="263">
        <f>IFERROR(VLOOKUP(A52,Cargas!$B$3:$I$93,3,FALSE),0)</f>
        <v>0</v>
      </c>
      <c r="I52" s="263">
        <f>IFERROR(VLOOKUP(A52,Cargas!$B$3:$I$93,4,FALSE),0)</f>
        <v>0</v>
      </c>
      <c r="J52" s="263">
        <f>IFERROR(VLOOKUP(A52,Cargas!$B$3:$I$93,5,FALSE),0)</f>
        <v>0</v>
      </c>
      <c r="K52" s="263">
        <f>IFERROR(VLOOKUP(A52,Cargas!$B$3:$I$93,6,FALSE),0)</f>
        <v>0</v>
      </c>
      <c r="L52" s="263">
        <f>IFERROR(VLOOKUP(A52,Cargas!$B$3:$I$93,7,FALSE),0)</f>
        <v>0</v>
      </c>
      <c r="AB52" s="123">
        <f t="shared" si="3"/>
        <v>0</v>
      </c>
      <c r="AC52" s="123">
        <f t="shared" si="3"/>
        <v>0</v>
      </c>
      <c r="AD52" s="123">
        <f t="shared" si="3"/>
        <v>0</v>
      </c>
      <c r="AE52" s="123">
        <f t="shared" si="3"/>
        <v>0</v>
      </c>
      <c r="AF52" s="123">
        <f t="shared" si="3"/>
        <v>0</v>
      </c>
      <c r="AG52" s="123">
        <f t="shared" si="3"/>
        <v>0</v>
      </c>
      <c r="AH52" s="122">
        <f t="shared" si="1"/>
        <v>0</v>
      </c>
    </row>
    <row r="53" spans="1:34" s="75" customFormat="1" ht="15.75">
      <c r="A53" s="125">
        <v>41</v>
      </c>
      <c r="B53" s="76"/>
      <c r="C53" s="127">
        <v>41</v>
      </c>
      <c r="D53" s="263"/>
      <c r="E53" s="263">
        <f t="shared" si="2"/>
        <v>0</v>
      </c>
      <c r="F53" s="263"/>
      <c r="G53" s="263"/>
      <c r="H53" s="263">
        <f>IFERROR(VLOOKUP(A53,Cargas!$B$3:$I$93,3,FALSE),0)</f>
        <v>0</v>
      </c>
      <c r="I53" s="263">
        <f>IFERROR(VLOOKUP(A53,Cargas!$B$3:$I$93,4,FALSE),0)</f>
        <v>0</v>
      </c>
      <c r="J53" s="263">
        <f>IFERROR(VLOOKUP(A53,Cargas!$B$3:$I$93,5,FALSE),0)</f>
        <v>0</v>
      </c>
      <c r="K53" s="263">
        <f>IFERROR(VLOOKUP(A53,Cargas!$B$3:$I$93,6,FALSE),0)</f>
        <v>0</v>
      </c>
      <c r="L53" s="263">
        <f>IFERROR(VLOOKUP(A53,Cargas!$B$3:$I$93,7,FALSE),0)</f>
        <v>0</v>
      </c>
      <c r="AB53" s="123">
        <f t="shared" si="3"/>
        <v>0</v>
      </c>
      <c r="AC53" s="123">
        <f t="shared" si="3"/>
        <v>0</v>
      </c>
      <c r="AD53" s="123">
        <f t="shared" si="3"/>
        <v>0</v>
      </c>
      <c r="AE53" s="123">
        <f t="shared" si="3"/>
        <v>0</v>
      </c>
      <c r="AF53" s="123">
        <f t="shared" si="3"/>
        <v>0</v>
      </c>
      <c r="AG53" s="123">
        <f t="shared" si="3"/>
        <v>0</v>
      </c>
      <c r="AH53" s="122">
        <f t="shared" si="1"/>
        <v>0</v>
      </c>
    </row>
    <row r="54" spans="1:34" s="75" customFormat="1" ht="15.75">
      <c r="A54" s="125">
        <v>42</v>
      </c>
      <c r="B54" s="73"/>
      <c r="C54" s="126" t="s">
        <v>27</v>
      </c>
      <c r="D54" s="263"/>
      <c r="E54" s="263">
        <f t="shared" si="2"/>
        <v>0</v>
      </c>
      <c r="F54" s="263"/>
      <c r="G54" s="263"/>
      <c r="H54" s="263">
        <f>IFERROR(VLOOKUP(A54,Cargas!$B$3:$I$93,3,FALSE),0)</f>
        <v>0</v>
      </c>
      <c r="I54" s="263">
        <f>IFERROR(VLOOKUP(A54,Cargas!$B$3:$I$93,4,FALSE),0)</f>
        <v>0</v>
      </c>
      <c r="J54" s="263">
        <f>IFERROR(VLOOKUP(A54,Cargas!$B$3:$I$93,5,FALSE),0)</f>
        <v>0</v>
      </c>
      <c r="K54" s="263">
        <f>IFERROR(VLOOKUP(A54,Cargas!$B$3:$I$93,6,FALSE),0)</f>
        <v>0</v>
      </c>
      <c r="L54" s="263">
        <f>IFERROR(VLOOKUP(A54,Cargas!$B$3:$I$93,7,FALSE),0)</f>
        <v>0</v>
      </c>
      <c r="AB54" s="123">
        <f t="shared" si="3"/>
        <v>0</v>
      </c>
      <c r="AC54" s="123">
        <f t="shared" si="3"/>
        <v>0</v>
      </c>
      <c r="AD54" s="123">
        <f t="shared" si="3"/>
        <v>0</v>
      </c>
      <c r="AE54" s="123">
        <f t="shared" si="3"/>
        <v>0</v>
      </c>
      <c r="AF54" s="123">
        <f t="shared" si="3"/>
        <v>0</v>
      </c>
      <c r="AG54" s="123">
        <f t="shared" si="3"/>
        <v>0</v>
      </c>
      <c r="AH54" s="122">
        <f t="shared" si="1"/>
        <v>0</v>
      </c>
    </row>
    <row r="55" spans="1:34" s="75" customFormat="1" ht="15.75">
      <c r="A55" s="125">
        <v>43</v>
      </c>
      <c r="B55" s="73"/>
      <c r="C55" s="126" t="s">
        <v>229</v>
      </c>
      <c r="D55" s="263"/>
      <c r="E55" s="263">
        <f t="shared" si="2"/>
        <v>0</v>
      </c>
      <c r="F55" s="263"/>
      <c r="G55" s="263"/>
      <c r="H55" s="263">
        <f>IFERROR(VLOOKUP(A55,Cargas!$B$3:$I$93,3,FALSE),0)</f>
        <v>0</v>
      </c>
      <c r="I55" s="263">
        <f>IFERROR(VLOOKUP(A55,Cargas!$B$3:$I$93,4,FALSE),0)</f>
        <v>0</v>
      </c>
      <c r="J55" s="263">
        <f>IFERROR(VLOOKUP(A55,Cargas!$B$3:$I$93,5,FALSE),0)</f>
        <v>0</v>
      </c>
      <c r="K55" s="263">
        <f>IFERROR(VLOOKUP(A55,Cargas!$B$3:$I$93,6,FALSE),0)</f>
        <v>0</v>
      </c>
      <c r="L55" s="263">
        <f>IFERROR(VLOOKUP(A55,Cargas!$B$3:$I$93,7,FALSE),0)</f>
        <v>0</v>
      </c>
      <c r="AB55" s="123">
        <f t="shared" si="3"/>
        <v>0</v>
      </c>
      <c r="AC55" s="123">
        <f t="shared" si="3"/>
        <v>0</v>
      </c>
      <c r="AD55" s="123">
        <f t="shared" si="3"/>
        <v>0</v>
      </c>
      <c r="AE55" s="123">
        <f t="shared" si="3"/>
        <v>0</v>
      </c>
      <c r="AF55" s="123">
        <f t="shared" si="3"/>
        <v>0</v>
      </c>
      <c r="AG55" s="123">
        <f t="shared" si="3"/>
        <v>0</v>
      </c>
      <c r="AH55" s="122">
        <f t="shared" si="1"/>
        <v>0</v>
      </c>
    </row>
    <row r="56" spans="1:34" s="75" customFormat="1" ht="15.75">
      <c r="A56" s="125">
        <v>44</v>
      </c>
      <c r="B56" s="73"/>
      <c r="C56" s="126" t="s">
        <v>93</v>
      </c>
      <c r="D56" s="263"/>
      <c r="E56" s="263">
        <f t="shared" si="2"/>
        <v>0</v>
      </c>
      <c r="F56" s="263"/>
      <c r="G56" s="263"/>
      <c r="H56" s="263">
        <f>IFERROR(VLOOKUP(A56,Cargas!$B$3:$I$93,3,FALSE),0)</f>
        <v>0</v>
      </c>
      <c r="I56" s="263">
        <f>IFERROR(VLOOKUP(A56,Cargas!$B$3:$I$93,4,FALSE),0)</f>
        <v>0</v>
      </c>
      <c r="J56" s="263">
        <f>IFERROR(VLOOKUP(A56,Cargas!$B$3:$I$93,5,FALSE),0)</f>
        <v>0</v>
      </c>
      <c r="K56" s="263">
        <f>IFERROR(VLOOKUP(A56,Cargas!$B$3:$I$93,6,FALSE),0)</f>
        <v>0</v>
      </c>
      <c r="L56" s="263">
        <f>IFERROR(VLOOKUP(A56,Cargas!$B$3:$I$93,7,FALSE),0)</f>
        <v>0</v>
      </c>
      <c r="AB56" s="123">
        <f t="shared" si="3"/>
        <v>0</v>
      </c>
      <c r="AC56" s="123">
        <f t="shared" si="3"/>
        <v>0</v>
      </c>
      <c r="AD56" s="123">
        <f t="shared" si="3"/>
        <v>0</v>
      </c>
      <c r="AE56" s="123">
        <f t="shared" si="3"/>
        <v>0</v>
      </c>
      <c r="AF56" s="123">
        <f t="shared" si="3"/>
        <v>0</v>
      </c>
      <c r="AG56" s="123">
        <f t="shared" si="3"/>
        <v>0</v>
      </c>
      <c r="AH56" s="122">
        <f t="shared" si="1"/>
        <v>0</v>
      </c>
    </row>
    <row r="57" spans="1:34" s="75" customFormat="1" ht="15.75">
      <c r="A57" s="125">
        <v>45</v>
      </c>
      <c r="B57" s="73"/>
      <c r="C57" s="127" t="s">
        <v>243</v>
      </c>
      <c r="D57" s="263"/>
      <c r="E57" s="263">
        <f t="shared" si="2"/>
        <v>0</v>
      </c>
      <c r="F57" s="263"/>
      <c r="G57" s="263"/>
      <c r="H57" s="263">
        <f>IFERROR(VLOOKUP(A57,Cargas!$B$3:$I$93,3,FALSE),0)</f>
        <v>0</v>
      </c>
      <c r="I57" s="263">
        <f>IFERROR(VLOOKUP(A57,Cargas!$B$3:$I$93,4,FALSE),0)</f>
        <v>0</v>
      </c>
      <c r="J57" s="263">
        <f>IFERROR(VLOOKUP(A57,Cargas!$B$3:$I$93,5,FALSE),0)</f>
        <v>0</v>
      </c>
      <c r="K57" s="263">
        <f>IFERROR(VLOOKUP(A57,Cargas!$B$3:$I$93,6,FALSE),0)</f>
        <v>0</v>
      </c>
      <c r="L57" s="263">
        <f>IFERROR(VLOOKUP(A57,Cargas!$B$3:$I$93,7,FALSE),0)</f>
        <v>0</v>
      </c>
      <c r="AB57" s="123">
        <f t="shared" si="3"/>
        <v>0</v>
      </c>
      <c r="AC57" s="123">
        <f t="shared" si="3"/>
        <v>0</v>
      </c>
      <c r="AD57" s="123">
        <f t="shared" si="3"/>
        <v>0</v>
      </c>
      <c r="AE57" s="123">
        <f t="shared" si="3"/>
        <v>0</v>
      </c>
      <c r="AF57" s="123">
        <f t="shared" si="3"/>
        <v>0</v>
      </c>
      <c r="AG57" s="123">
        <f t="shared" si="3"/>
        <v>0</v>
      </c>
      <c r="AH57" s="122">
        <f t="shared" si="1"/>
        <v>0</v>
      </c>
    </row>
    <row r="58" spans="1:34" s="74" customFormat="1" ht="15.75">
      <c r="A58" s="125">
        <v>47</v>
      </c>
      <c r="B58" s="73"/>
      <c r="C58" s="126" t="s">
        <v>154</v>
      </c>
      <c r="D58" s="263"/>
      <c r="E58" s="263">
        <f t="shared" si="2"/>
        <v>0</v>
      </c>
      <c r="F58" s="263"/>
      <c r="G58" s="263"/>
      <c r="H58" s="263">
        <f>IFERROR(VLOOKUP(A58,Cargas!$B$3:$I$93,3,FALSE),0)</f>
        <v>0</v>
      </c>
      <c r="I58" s="263">
        <f>IFERROR(VLOOKUP(A58,Cargas!$B$3:$I$93,4,FALSE),0)</f>
        <v>0</v>
      </c>
      <c r="J58" s="263">
        <f>IFERROR(VLOOKUP(A58,Cargas!$B$3:$I$93,5,FALSE),0)</f>
        <v>0</v>
      </c>
      <c r="K58" s="263">
        <f>IFERROR(VLOOKUP(A58,Cargas!$B$3:$I$93,6,FALSE),0)</f>
        <v>0</v>
      </c>
      <c r="L58" s="263">
        <f>IFERROR(VLOOKUP(A58,Cargas!$B$3:$I$93,7,FALSE),0)</f>
        <v>0</v>
      </c>
      <c r="AB58" s="123">
        <f t="shared" si="3"/>
        <v>0</v>
      </c>
      <c r="AC58" s="123">
        <f t="shared" si="3"/>
        <v>0</v>
      </c>
      <c r="AD58" s="123">
        <f t="shared" si="3"/>
        <v>0</v>
      </c>
      <c r="AE58" s="123">
        <f t="shared" si="3"/>
        <v>0</v>
      </c>
      <c r="AF58" s="123">
        <f t="shared" si="3"/>
        <v>0</v>
      </c>
      <c r="AG58" s="123">
        <f t="shared" si="3"/>
        <v>0</v>
      </c>
      <c r="AH58" s="122">
        <f t="shared" si="1"/>
        <v>0</v>
      </c>
    </row>
    <row r="59" spans="1:34" s="75" customFormat="1" ht="15.75">
      <c r="A59" s="125">
        <v>48</v>
      </c>
      <c r="B59" s="73"/>
      <c r="C59" s="127" t="s">
        <v>29</v>
      </c>
      <c r="D59" s="271"/>
      <c r="E59" s="263">
        <f t="shared" si="2"/>
        <v>0</v>
      </c>
      <c r="F59" s="263"/>
      <c r="G59" s="263"/>
      <c r="H59" s="263">
        <f>IFERROR(VLOOKUP(A59,Cargas!$B$3:$I$93,3,FALSE),0)</f>
        <v>0</v>
      </c>
      <c r="I59" s="263">
        <f>IFERROR(VLOOKUP(A59,Cargas!$B$3:$I$93,4,FALSE),0)</f>
        <v>0</v>
      </c>
      <c r="J59" s="263">
        <f>IFERROR(VLOOKUP(A59,Cargas!$B$3:$I$93,5,FALSE),0)</f>
        <v>0</v>
      </c>
      <c r="K59" s="263">
        <f>IFERROR(VLOOKUP(A59,Cargas!$B$3:$I$93,6,FALSE),0)</f>
        <v>0</v>
      </c>
      <c r="L59" s="263">
        <f>IFERROR(VLOOKUP(A59,Cargas!$B$3:$I$93,7,FALSE),0)</f>
        <v>0</v>
      </c>
      <c r="AB59" s="123">
        <f t="shared" si="3"/>
        <v>0</v>
      </c>
      <c r="AC59" s="123">
        <f t="shared" si="3"/>
        <v>0</v>
      </c>
      <c r="AD59" s="123">
        <f t="shared" si="3"/>
        <v>0</v>
      </c>
      <c r="AE59" s="123">
        <f t="shared" si="3"/>
        <v>0</v>
      </c>
      <c r="AF59" s="123">
        <f t="shared" si="3"/>
        <v>0</v>
      </c>
      <c r="AG59" s="123">
        <f t="shared" si="3"/>
        <v>0</v>
      </c>
      <c r="AH59" s="122">
        <f t="shared" si="1"/>
        <v>0</v>
      </c>
    </row>
    <row r="60" spans="1:34" s="74" customFormat="1" ht="15.75">
      <c r="A60" s="125">
        <v>49</v>
      </c>
      <c r="B60" s="73"/>
      <c r="C60" s="126" t="s">
        <v>162</v>
      </c>
      <c r="D60" s="263"/>
      <c r="E60" s="263">
        <f t="shared" si="2"/>
        <v>0</v>
      </c>
      <c r="F60" s="263"/>
      <c r="G60" s="263"/>
      <c r="H60" s="263">
        <f>IFERROR(VLOOKUP(A60,Cargas!$B$3:$I$93,3,FALSE),0)</f>
        <v>0</v>
      </c>
      <c r="I60" s="263">
        <f>IFERROR(VLOOKUP(A60,Cargas!$B$3:$I$93,4,FALSE),0)</f>
        <v>0</v>
      </c>
      <c r="J60" s="263">
        <f>IFERROR(VLOOKUP(A60,Cargas!$B$3:$I$93,5,FALSE),0)</f>
        <v>0</v>
      </c>
      <c r="K60" s="263">
        <f>IFERROR(VLOOKUP(A60,Cargas!$B$3:$I$93,6,FALSE),0)</f>
        <v>0</v>
      </c>
      <c r="L60" s="263">
        <f>IFERROR(VLOOKUP(A60,Cargas!$B$3:$I$93,7,FALSE),0)</f>
        <v>0</v>
      </c>
      <c r="AB60" s="123">
        <f t="shared" si="3"/>
        <v>0</v>
      </c>
      <c r="AC60" s="123">
        <f t="shared" si="3"/>
        <v>0</v>
      </c>
      <c r="AD60" s="123">
        <f t="shared" si="3"/>
        <v>0</v>
      </c>
      <c r="AE60" s="123">
        <f t="shared" si="3"/>
        <v>0</v>
      </c>
      <c r="AF60" s="123">
        <f t="shared" si="3"/>
        <v>0</v>
      </c>
      <c r="AG60" s="123">
        <f t="shared" si="3"/>
        <v>0</v>
      </c>
      <c r="AH60" s="122">
        <f t="shared" si="1"/>
        <v>0</v>
      </c>
    </row>
    <row r="61" spans="1:34" s="75" customFormat="1" ht="15.75">
      <c r="A61" s="125">
        <v>50</v>
      </c>
      <c r="B61" s="73"/>
      <c r="C61" s="126" t="s">
        <v>30</v>
      </c>
      <c r="D61" s="263"/>
      <c r="E61" s="263">
        <f t="shared" si="2"/>
        <v>0</v>
      </c>
      <c r="F61" s="263"/>
      <c r="G61" s="263"/>
      <c r="H61" s="263">
        <f>IFERROR(VLOOKUP(A61,Cargas!$B$3:$I$93,3,FALSE),0)</f>
        <v>0</v>
      </c>
      <c r="I61" s="263">
        <f>IFERROR(VLOOKUP(A61,Cargas!$B$3:$I$93,4,FALSE),0)</f>
        <v>0</v>
      </c>
      <c r="J61" s="263">
        <f>IFERROR(VLOOKUP(A61,Cargas!$B$3:$I$93,5,FALSE),0)</f>
        <v>0</v>
      </c>
      <c r="K61" s="263">
        <f>IFERROR(VLOOKUP(A61,Cargas!$B$3:$I$93,6,FALSE),0)</f>
        <v>0</v>
      </c>
      <c r="L61" s="263">
        <f>IFERROR(VLOOKUP(A61,Cargas!$B$3:$I$93,7,FALSE),0)</f>
        <v>0</v>
      </c>
      <c r="AB61" s="123">
        <f t="shared" si="3"/>
        <v>0</v>
      </c>
      <c r="AC61" s="123">
        <f t="shared" si="3"/>
        <v>0</v>
      </c>
      <c r="AD61" s="123">
        <f t="shared" si="3"/>
        <v>0</v>
      </c>
      <c r="AE61" s="123">
        <f t="shared" si="3"/>
        <v>0</v>
      </c>
      <c r="AF61" s="123">
        <f t="shared" si="3"/>
        <v>0</v>
      </c>
      <c r="AG61" s="123">
        <f t="shared" si="3"/>
        <v>0</v>
      </c>
      <c r="AH61" s="122">
        <f t="shared" si="1"/>
        <v>0</v>
      </c>
    </row>
    <row r="62" spans="1:34" s="75" customFormat="1" ht="15.75">
      <c r="A62" s="125">
        <v>51</v>
      </c>
      <c r="B62" s="73"/>
      <c r="C62" s="127">
        <v>51</v>
      </c>
      <c r="D62" s="263"/>
      <c r="E62" s="263">
        <f t="shared" si="2"/>
        <v>0</v>
      </c>
      <c r="F62" s="263"/>
      <c r="G62" s="263"/>
      <c r="H62" s="263">
        <f>IFERROR(VLOOKUP(A62,Cargas!$B$3:$I$93,3,FALSE),0)</f>
        <v>0</v>
      </c>
      <c r="I62" s="263">
        <f>IFERROR(VLOOKUP(A62,Cargas!$B$3:$I$93,4,FALSE),0)</f>
        <v>0</v>
      </c>
      <c r="J62" s="263">
        <f>IFERROR(VLOOKUP(A62,Cargas!$B$3:$I$93,5,FALSE),0)</f>
        <v>0</v>
      </c>
      <c r="K62" s="263">
        <f>IFERROR(VLOOKUP(A62,Cargas!$B$3:$I$93,6,FALSE),0)</f>
        <v>0</v>
      </c>
      <c r="L62" s="263">
        <f>IFERROR(VLOOKUP(A62,Cargas!$B$3:$I$93,7,FALSE),0)</f>
        <v>0</v>
      </c>
      <c r="AB62" s="123">
        <f t="shared" si="3"/>
        <v>0</v>
      </c>
      <c r="AC62" s="123">
        <f t="shared" si="3"/>
        <v>0</v>
      </c>
      <c r="AD62" s="123">
        <f t="shared" si="3"/>
        <v>0</v>
      </c>
      <c r="AE62" s="123">
        <f t="shared" si="3"/>
        <v>0</v>
      </c>
      <c r="AF62" s="123">
        <f t="shared" si="3"/>
        <v>0</v>
      </c>
      <c r="AG62" s="123">
        <f t="shared" si="3"/>
        <v>0</v>
      </c>
      <c r="AH62" s="122">
        <f t="shared" si="1"/>
        <v>0</v>
      </c>
    </row>
    <row r="63" spans="1:34" s="74" customFormat="1" ht="15.75">
      <c r="A63" s="125">
        <v>52</v>
      </c>
      <c r="B63" s="73"/>
      <c r="C63" s="127" t="s">
        <v>244</v>
      </c>
      <c r="D63" s="263"/>
      <c r="E63" s="263">
        <f t="shared" si="2"/>
        <v>0</v>
      </c>
      <c r="F63" s="263"/>
      <c r="G63" s="263"/>
      <c r="H63" s="263">
        <f>IFERROR(VLOOKUP(A63,Cargas!$B$3:$I$93,3,FALSE),0)</f>
        <v>0</v>
      </c>
      <c r="I63" s="263">
        <f>IFERROR(VLOOKUP(A63,Cargas!$B$3:$I$93,4,FALSE),0)</f>
        <v>0</v>
      </c>
      <c r="J63" s="263">
        <f>IFERROR(VLOOKUP(A63,Cargas!$B$3:$I$93,5,FALSE),0)</f>
        <v>0</v>
      </c>
      <c r="K63" s="263">
        <f>IFERROR(VLOOKUP(A63,Cargas!$B$3:$I$93,6,FALSE),0)</f>
        <v>0</v>
      </c>
      <c r="L63" s="263">
        <f>IFERROR(VLOOKUP(A63,Cargas!$B$3:$I$93,7,FALSE),0)</f>
        <v>0</v>
      </c>
      <c r="AB63" s="123">
        <f t="shared" si="3"/>
        <v>0</v>
      </c>
      <c r="AC63" s="123">
        <f t="shared" si="3"/>
        <v>0</v>
      </c>
      <c r="AD63" s="123">
        <f t="shared" si="3"/>
        <v>0</v>
      </c>
      <c r="AE63" s="123">
        <f t="shared" si="3"/>
        <v>0</v>
      </c>
      <c r="AF63" s="123">
        <f t="shared" si="3"/>
        <v>0</v>
      </c>
      <c r="AG63" s="123">
        <f t="shared" si="3"/>
        <v>0</v>
      </c>
      <c r="AH63" s="122">
        <f t="shared" si="1"/>
        <v>0</v>
      </c>
    </row>
    <row r="64" spans="1:34" s="75" customFormat="1" ht="15.75">
      <c r="A64" s="125">
        <v>53</v>
      </c>
      <c r="B64" s="73"/>
      <c r="C64" s="126" t="s">
        <v>245</v>
      </c>
      <c r="D64" s="263"/>
      <c r="E64" s="263">
        <f t="shared" si="2"/>
        <v>0</v>
      </c>
      <c r="F64" s="263"/>
      <c r="G64" s="263"/>
      <c r="H64" s="263">
        <f>IFERROR(VLOOKUP(A64,Cargas!$B$3:$I$93,3,FALSE),0)</f>
        <v>0</v>
      </c>
      <c r="I64" s="263">
        <f>IFERROR(VLOOKUP(A64,Cargas!$B$3:$I$93,4,FALSE),0)</f>
        <v>0</v>
      </c>
      <c r="J64" s="263">
        <f>IFERROR(VLOOKUP(A64,Cargas!$B$3:$I$93,5,FALSE),0)</f>
        <v>0</v>
      </c>
      <c r="K64" s="263">
        <f>IFERROR(VLOOKUP(A64,Cargas!$B$3:$I$93,6,FALSE),0)</f>
        <v>0</v>
      </c>
      <c r="L64" s="263">
        <f>IFERROR(VLOOKUP(A64,Cargas!$B$3:$I$93,7,FALSE),0)</f>
        <v>0</v>
      </c>
      <c r="AB64" s="123">
        <f t="shared" si="3"/>
        <v>0</v>
      </c>
      <c r="AC64" s="123">
        <f t="shared" si="3"/>
        <v>0</v>
      </c>
      <c r="AD64" s="123">
        <f t="shared" si="3"/>
        <v>0</v>
      </c>
      <c r="AE64" s="123">
        <f t="shared" si="3"/>
        <v>0</v>
      </c>
      <c r="AF64" s="123">
        <f t="shared" si="3"/>
        <v>0</v>
      </c>
      <c r="AG64" s="123">
        <f t="shared" si="3"/>
        <v>0</v>
      </c>
      <c r="AH64" s="122">
        <f t="shared" si="1"/>
        <v>0</v>
      </c>
    </row>
    <row r="65" spans="1:34" s="75" customFormat="1" ht="15.75">
      <c r="A65" s="125">
        <v>55</v>
      </c>
      <c r="B65" s="73"/>
      <c r="C65" s="126" t="s">
        <v>32</v>
      </c>
      <c r="D65" s="263"/>
      <c r="E65" s="263">
        <f t="shared" si="2"/>
        <v>0</v>
      </c>
      <c r="F65" s="263"/>
      <c r="G65" s="263"/>
      <c r="H65" s="263">
        <f>IFERROR(VLOOKUP(A65,Cargas!$B$3:$I$93,3,FALSE),0)</f>
        <v>0</v>
      </c>
      <c r="I65" s="263">
        <f>IFERROR(VLOOKUP(A65,Cargas!$B$3:$I$93,4,FALSE),0)</f>
        <v>0</v>
      </c>
      <c r="J65" s="263">
        <f>IFERROR(VLOOKUP(A65,Cargas!$B$3:$I$93,5,FALSE),0)</f>
        <v>0</v>
      </c>
      <c r="K65" s="263">
        <f>IFERROR(VLOOKUP(A65,Cargas!$B$3:$I$93,6,FALSE),0)</f>
        <v>0</v>
      </c>
      <c r="L65" s="263">
        <f>IFERROR(VLOOKUP(A65,Cargas!$B$3:$I$93,7,FALSE),0)</f>
        <v>0</v>
      </c>
      <c r="AB65" s="123">
        <f t="shared" si="3"/>
        <v>0</v>
      </c>
      <c r="AC65" s="123">
        <f t="shared" si="3"/>
        <v>0</v>
      </c>
      <c r="AD65" s="123">
        <f t="shared" si="3"/>
        <v>0</v>
      </c>
      <c r="AE65" s="123">
        <f t="shared" si="3"/>
        <v>0</v>
      </c>
      <c r="AF65" s="123">
        <f t="shared" si="3"/>
        <v>0</v>
      </c>
      <c r="AG65" s="123">
        <f t="shared" si="3"/>
        <v>0</v>
      </c>
      <c r="AH65" s="122">
        <f t="shared" si="1"/>
        <v>0</v>
      </c>
    </row>
    <row r="66" spans="1:34" s="75" customFormat="1" ht="15.75">
      <c r="A66" s="125">
        <v>57</v>
      </c>
      <c r="B66" s="73"/>
      <c r="C66" s="127" t="s">
        <v>163</v>
      </c>
      <c r="D66" s="263"/>
      <c r="E66" s="263">
        <f t="shared" si="2"/>
        <v>0</v>
      </c>
      <c r="F66" s="263"/>
      <c r="G66" s="263"/>
      <c r="H66" s="263">
        <f>IFERROR(VLOOKUP(A66,Cargas!$B$3:$I$93,3,FALSE),0)</f>
        <v>0</v>
      </c>
      <c r="I66" s="263">
        <f>IFERROR(VLOOKUP(A66,Cargas!$B$3:$I$93,4,FALSE),0)</f>
        <v>0</v>
      </c>
      <c r="J66" s="263">
        <f>IFERROR(VLOOKUP(A66,Cargas!$B$3:$I$93,5,FALSE),0)</f>
        <v>0</v>
      </c>
      <c r="K66" s="263">
        <f>IFERROR(VLOOKUP(A66,Cargas!$B$3:$I$93,6,FALSE),0)</f>
        <v>0</v>
      </c>
      <c r="L66" s="263">
        <f>IFERROR(VLOOKUP(A66,Cargas!$B$3:$I$93,7,FALSE),0)</f>
        <v>0</v>
      </c>
      <c r="AB66" s="123">
        <f t="shared" si="3"/>
        <v>0</v>
      </c>
      <c r="AC66" s="123">
        <f t="shared" si="3"/>
        <v>0</v>
      </c>
      <c r="AD66" s="123">
        <f t="shared" si="3"/>
        <v>0</v>
      </c>
      <c r="AE66" s="123">
        <f t="shared" si="3"/>
        <v>0</v>
      </c>
      <c r="AF66" s="123">
        <f t="shared" si="3"/>
        <v>0</v>
      </c>
      <c r="AG66" s="123">
        <f t="shared" si="3"/>
        <v>0</v>
      </c>
      <c r="AH66" s="122">
        <f t="shared" si="1"/>
        <v>0</v>
      </c>
    </row>
    <row r="67" spans="1:34" s="75" customFormat="1" ht="15.75">
      <c r="A67" s="125">
        <v>58</v>
      </c>
      <c r="B67" s="73"/>
      <c r="C67" s="127" t="s">
        <v>33</v>
      </c>
      <c r="D67" s="271"/>
      <c r="E67" s="263">
        <f t="shared" si="2"/>
        <v>0</v>
      </c>
      <c r="F67" s="263"/>
      <c r="G67" s="263"/>
      <c r="H67" s="263">
        <f>IFERROR(VLOOKUP(A67,Cargas!$B$3:$I$93,3,FALSE),0)</f>
        <v>0</v>
      </c>
      <c r="I67" s="263">
        <f>IFERROR(VLOOKUP(A67,Cargas!$B$3:$I$93,4,FALSE),0)</f>
        <v>0</v>
      </c>
      <c r="J67" s="263">
        <f>IFERROR(VLOOKUP(A67,Cargas!$B$3:$I$93,5,FALSE),0)</f>
        <v>0</v>
      </c>
      <c r="K67" s="263">
        <f>IFERROR(VLOOKUP(A67,Cargas!$B$3:$I$93,6,FALSE),0)</f>
        <v>0</v>
      </c>
      <c r="L67" s="263">
        <f>IFERROR(VLOOKUP(A67,Cargas!$B$3:$I$93,7,FALSE),0)</f>
        <v>0</v>
      </c>
      <c r="AB67" s="123">
        <f t="shared" si="3"/>
        <v>0</v>
      </c>
      <c r="AC67" s="123">
        <f t="shared" si="3"/>
        <v>0</v>
      </c>
      <c r="AD67" s="123">
        <f t="shared" si="3"/>
        <v>0</v>
      </c>
      <c r="AE67" s="123">
        <f t="shared" si="3"/>
        <v>0</v>
      </c>
      <c r="AF67" s="123">
        <f t="shared" si="3"/>
        <v>0</v>
      </c>
      <c r="AG67" s="123">
        <f t="shared" si="3"/>
        <v>0</v>
      </c>
      <c r="AH67" s="122">
        <f t="shared" si="1"/>
        <v>0</v>
      </c>
    </row>
    <row r="68" spans="1:34" s="75" customFormat="1" ht="15.75">
      <c r="A68" s="125">
        <v>59</v>
      </c>
      <c r="B68" s="73"/>
      <c r="C68" s="126" t="s">
        <v>34</v>
      </c>
      <c r="D68" s="263"/>
      <c r="E68" s="263">
        <f t="shared" si="2"/>
        <v>0</v>
      </c>
      <c r="F68" s="263"/>
      <c r="G68" s="263"/>
      <c r="H68" s="263">
        <f>IFERROR(VLOOKUP(A68,Cargas!$B$3:$I$93,3,FALSE),0)</f>
        <v>0</v>
      </c>
      <c r="I68" s="263">
        <f>IFERROR(VLOOKUP(A68,Cargas!$B$3:$I$93,4,FALSE),0)</f>
        <v>0</v>
      </c>
      <c r="J68" s="263">
        <f>IFERROR(VLOOKUP(A68,Cargas!$B$3:$I$93,5,FALSE),0)</f>
        <v>0</v>
      </c>
      <c r="K68" s="263">
        <f>IFERROR(VLOOKUP(A68,Cargas!$B$3:$I$93,6,FALSE),0)</f>
        <v>0</v>
      </c>
      <c r="L68" s="263">
        <f>IFERROR(VLOOKUP(A68,Cargas!$B$3:$I$93,7,FALSE),0)</f>
        <v>0</v>
      </c>
      <c r="AB68" s="123">
        <f t="shared" si="3"/>
        <v>0</v>
      </c>
      <c r="AC68" s="123">
        <f t="shared" si="3"/>
        <v>0</v>
      </c>
      <c r="AD68" s="123">
        <f t="shared" si="3"/>
        <v>0</v>
      </c>
      <c r="AE68" s="123">
        <f t="shared" si="3"/>
        <v>0</v>
      </c>
      <c r="AF68" s="123">
        <f t="shared" si="3"/>
        <v>0</v>
      </c>
      <c r="AG68" s="123">
        <f t="shared" si="3"/>
        <v>0</v>
      </c>
      <c r="AH68" s="122">
        <f t="shared" si="1"/>
        <v>0</v>
      </c>
    </row>
    <row r="69" spans="1:34" s="74" customFormat="1" ht="15.75">
      <c r="A69" s="125">
        <v>60</v>
      </c>
      <c r="B69" s="73"/>
      <c r="C69" s="126" t="s">
        <v>35</v>
      </c>
      <c r="D69" s="263"/>
      <c r="E69" s="263">
        <f t="shared" si="2"/>
        <v>0</v>
      </c>
      <c r="F69" s="263"/>
      <c r="G69" s="263"/>
      <c r="H69" s="263">
        <f>IFERROR(VLOOKUP(A69,Cargas!$B$3:$I$93,3,FALSE),0)</f>
        <v>0</v>
      </c>
      <c r="I69" s="263">
        <f>IFERROR(VLOOKUP(A69,Cargas!$B$3:$I$93,4,FALSE),0)</f>
        <v>0</v>
      </c>
      <c r="J69" s="263">
        <f>IFERROR(VLOOKUP(A69,Cargas!$B$3:$I$93,5,FALSE),0)</f>
        <v>0</v>
      </c>
      <c r="K69" s="263">
        <f>IFERROR(VLOOKUP(A69,Cargas!$B$3:$I$93,6,FALSE),0)</f>
        <v>0</v>
      </c>
      <c r="L69" s="263">
        <f>IFERROR(VLOOKUP(A69,Cargas!$B$3:$I$93,7,FALSE),0)</f>
        <v>0</v>
      </c>
      <c r="AB69" s="123">
        <f t="shared" si="3"/>
        <v>0</v>
      </c>
      <c r="AC69" s="123">
        <f t="shared" si="3"/>
        <v>0</v>
      </c>
      <c r="AD69" s="123">
        <f t="shared" si="3"/>
        <v>0</v>
      </c>
      <c r="AE69" s="123">
        <f t="shared" si="3"/>
        <v>0</v>
      </c>
      <c r="AF69" s="123">
        <f t="shared" si="3"/>
        <v>0</v>
      </c>
      <c r="AG69" s="123">
        <f t="shared" si="3"/>
        <v>0</v>
      </c>
      <c r="AH69" s="122">
        <f t="shared" si="1"/>
        <v>0</v>
      </c>
    </row>
    <row r="70" spans="1:34" s="75" customFormat="1" ht="15.75">
      <c r="A70" s="125">
        <v>61</v>
      </c>
      <c r="B70" s="73"/>
      <c r="C70" s="126" t="s">
        <v>155</v>
      </c>
      <c r="D70" s="263"/>
      <c r="E70" s="263">
        <f t="shared" si="2"/>
        <v>0</v>
      </c>
      <c r="F70" s="263"/>
      <c r="G70" s="263"/>
      <c r="H70" s="263">
        <f>IFERROR(VLOOKUP(A70,Cargas!$B$3:$I$93,3,FALSE),0)</f>
        <v>0</v>
      </c>
      <c r="I70" s="263">
        <f>IFERROR(VLOOKUP(A70,Cargas!$B$3:$I$93,4,FALSE),0)</f>
        <v>0</v>
      </c>
      <c r="J70" s="263">
        <f>IFERROR(VLOOKUP(A70,Cargas!$B$3:$I$93,5,FALSE),0)</f>
        <v>0</v>
      </c>
      <c r="K70" s="263">
        <f>IFERROR(VLOOKUP(A70,Cargas!$B$3:$I$93,6,FALSE),0)</f>
        <v>0</v>
      </c>
      <c r="L70" s="263">
        <f>IFERROR(VLOOKUP(A70,Cargas!$B$3:$I$93,7,FALSE),0)</f>
        <v>0</v>
      </c>
      <c r="AB70" s="123">
        <f t="shared" si="3"/>
        <v>0</v>
      </c>
      <c r="AC70" s="123">
        <f t="shared" si="3"/>
        <v>0</v>
      </c>
      <c r="AD70" s="123">
        <f t="shared" si="3"/>
        <v>0</v>
      </c>
      <c r="AE70" s="123">
        <f t="shared" si="3"/>
        <v>0</v>
      </c>
      <c r="AF70" s="123">
        <f t="shared" si="3"/>
        <v>0</v>
      </c>
      <c r="AG70" s="123">
        <f t="shared" si="3"/>
        <v>0</v>
      </c>
      <c r="AH70" s="122">
        <f t="shared" si="1"/>
        <v>0</v>
      </c>
    </row>
    <row r="71" spans="1:34" s="74" customFormat="1" ht="15.75">
      <c r="A71" s="125">
        <v>63</v>
      </c>
      <c r="B71" s="73"/>
      <c r="C71" s="126" t="s">
        <v>36</v>
      </c>
      <c r="D71" s="263"/>
      <c r="E71" s="263">
        <f t="shared" si="2"/>
        <v>0</v>
      </c>
      <c r="F71" s="263"/>
      <c r="G71" s="263"/>
      <c r="H71" s="263">
        <f>IFERROR(VLOOKUP(A71,Cargas!$B$3:$I$93,3,FALSE),0)</f>
        <v>0</v>
      </c>
      <c r="I71" s="263">
        <f>IFERROR(VLOOKUP(A71,Cargas!$B$3:$I$93,4,FALSE),0)</f>
        <v>0</v>
      </c>
      <c r="J71" s="263">
        <f>IFERROR(VLOOKUP(A71,Cargas!$B$3:$I$93,5,FALSE),0)</f>
        <v>0</v>
      </c>
      <c r="K71" s="263">
        <f>IFERROR(VLOOKUP(A71,Cargas!$B$3:$I$93,6,FALSE),0)</f>
        <v>0</v>
      </c>
      <c r="L71" s="263">
        <f>IFERROR(VLOOKUP(A71,Cargas!$B$3:$I$93,7,FALSE),0)</f>
        <v>0</v>
      </c>
      <c r="AB71" s="123">
        <f t="shared" ref="AB71:AG113" si="4">+G71/G$9</f>
        <v>0</v>
      </c>
      <c r="AC71" s="123">
        <f t="shared" si="4"/>
        <v>0</v>
      </c>
      <c r="AD71" s="123">
        <f t="shared" si="4"/>
        <v>0</v>
      </c>
      <c r="AE71" s="123">
        <f t="shared" si="4"/>
        <v>0</v>
      </c>
      <c r="AF71" s="123">
        <f t="shared" si="4"/>
        <v>0</v>
      </c>
      <c r="AG71" s="123">
        <f t="shared" si="4"/>
        <v>0</v>
      </c>
      <c r="AH71" s="122">
        <f t="shared" si="1"/>
        <v>0</v>
      </c>
    </row>
    <row r="72" spans="1:34" s="75" customFormat="1" ht="15.75">
      <c r="A72" s="125">
        <v>64</v>
      </c>
      <c r="B72" s="73"/>
      <c r="C72" s="126" t="s">
        <v>72</v>
      </c>
      <c r="D72" s="263"/>
      <c r="E72" s="263">
        <f t="shared" si="2"/>
        <v>0</v>
      </c>
      <c r="F72" s="263"/>
      <c r="G72" s="263"/>
      <c r="H72" s="263">
        <f>IFERROR(VLOOKUP(A72,Cargas!$B$3:$I$93,3,FALSE),0)</f>
        <v>0</v>
      </c>
      <c r="I72" s="263">
        <f>IFERROR(VLOOKUP(A72,Cargas!$B$3:$I$93,4,FALSE),0)</f>
        <v>0</v>
      </c>
      <c r="J72" s="263">
        <f>IFERROR(VLOOKUP(A72,Cargas!$B$3:$I$93,5,FALSE),0)</f>
        <v>0</v>
      </c>
      <c r="K72" s="263">
        <f>IFERROR(VLOOKUP(A72,Cargas!$B$3:$I$93,6,FALSE),0)</f>
        <v>0</v>
      </c>
      <c r="L72" s="263">
        <f>IFERROR(VLOOKUP(A72,Cargas!$B$3:$I$93,7,FALSE),0)</f>
        <v>0</v>
      </c>
      <c r="AB72" s="123">
        <f t="shared" si="4"/>
        <v>0</v>
      </c>
      <c r="AC72" s="123">
        <f t="shared" si="4"/>
        <v>0</v>
      </c>
      <c r="AD72" s="123">
        <f t="shared" si="4"/>
        <v>0</v>
      </c>
      <c r="AE72" s="123">
        <f t="shared" si="4"/>
        <v>0</v>
      </c>
      <c r="AF72" s="123">
        <f t="shared" si="4"/>
        <v>0</v>
      </c>
      <c r="AG72" s="123">
        <f t="shared" si="4"/>
        <v>0</v>
      </c>
      <c r="AH72" s="122">
        <f t="shared" si="1"/>
        <v>0</v>
      </c>
    </row>
    <row r="73" spans="1:34" s="75" customFormat="1" ht="15.75">
      <c r="A73" s="125">
        <v>65</v>
      </c>
      <c r="B73" s="73"/>
      <c r="C73" s="126" t="s">
        <v>260</v>
      </c>
      <c r="D73" s="263"/>
      <c r="E73" s="263">
        <f t="shared" si="2"/>
        <v>0</v>
      </c>
      <c r="F73" s="263"/>
      <c r="G73" s="263"/>
      <c r="H73" s="263">
        <f>IFERROR(VLOOKUP(A73,Cargas!$B$3:$I$93,3,FALSE),0)</f>
        <v>0</v>
      </c>
      <c r="I73" s="263">
        <f>IFERROR(VLOOKUP(A73,Cargas!$B$3:$I$93,4,FALSE),0)</f>
        <v>0</v>
      </c>
      <c r="J73" s="263">
        <f>IFERROR(VLOOKUP(A73,Cargas!$B$3:$I$93,5,FALSE),0)</f>
        <v>0</v>
      </c>
      <c r="K73" s="263">
        <f>IFERROR(VLOOKUP(A73,Cargas!$B$3:$I$93,6,FALSE),0)</f>
        <v>0</v>
      </c>
      <c r="L73" s="263">
        <f>IFERROR(VLOOKUP(A73,Cargas!$B$3:$I$93,7,FALSE),0)</f>
        <v>0</v>
      </c>
      <c r="AB73" s="123">
        <f t="shared" si="4"/>
        <v>0</v>
      </c>
      <c r="AC73" s="123">
        <f t="shared" si="4"/>
        <v>0</v>
      </c>
      <c r="AD73" s="123">
        <f t="shared" si="4"/>
        <v>0</v>
      </c>
      <c r="AE73" s="123">
        <f t="shared" si="4"/>
        <v>0</v>
      </c>
      <c r="AF73" s="123">
        <f t="shared" si="4"/>
        <v>0</v>
      </c>
      <c r="AG73" s="123">
        <f t="shared" si="4"/>
        <v>0</v>
      </c>
      <c r="AH73" s="122">
        <f t="shared" si="1"/>
        <v>0</v>
      </c>
    </row>
    <row r="74" spans="1:34" s="75" customFormat="1" ht="15.75">
      <c r="A74" s="125">
        <v>66</v>
      </c>
      <c r="B74" s="73"/>
      <c r="C74" s="126" t="s">
        <v>164</v>
      </c>
      <c r="D74" s="263"/>
      <c r="E74" s="263">
        <f t="shared" si="2"/>
        <v>0</v>
      </c>
      <c r="F74" s="263"/>
      <c r="G74" s="263"/>
      <c r="H74" s="263">
        <f>IFERROR(VLOOKUP(A74,Cargas!$B$3:$I$93,3,FALSE),0)</f>
        <v>0</v>
      </c>
      <c r="I74" s="263">
        <f>IFERROR(VLOOKUP(A74,Cargas!$B$3:$I$93,4,FALSE),0)</f>
        <v>0</v>
      </c>
      <c r="J74" s="263">
        <f>IFERROR(VLOOKUP(A74,Cargas!$B$3:$I$93,5,FALSE),0)</f>
        <v>0</v>
      </c>
      <c r="K74" s="263">
        <f>IFERROR(VLOOKUP(A74,Cargas!$B$3:$I$93,6,FALSE),0)</f>
        <v>0</v>
      </c>
      <c r="L74" s="263">
        <f>IFERROR(VLOOKUP(A74,Cargas!$B$3:$I$93,7,FALSE),0)</f>
        <v>0</v>
      </c>
      <c r="AB74" s="123">
        <f t="shared" si="4"/>
        <v>0</v>
      </c>
      <c r="AC74" s="123">
        <f t="shared" si="4"/>
        <v>0</v>
      </c>
      <c r="AD74" s="123">
        <f t="shared" si="4"/>
        <v>0</v>
      </c>
      <c r="AE74" s="123">
        <f t="shared" si="4"/>
        <v>0</v>
      </c>
      <c r="AF74" s="123">
        <f t="shared" si="4"/>
        <v>0</v>
      </c>
      <c r="AG74" s="123">
        <f t="shared" si="4"/>
        <v>0</v>
      </c>
      <c r="AH74" s="122">
        <f t="shared" si="1"/>
        <v>0</v>
      </c>
    </row>
    <row r="75" spans="1:34" s="74" customFormat="1" ht="15.75">
      <c r="A75" s="125">
        <v>67</v>
      </c>
      <c r="B75" s="73"/>
      <c r="C75" s="127" t="s">
        <v>37</v>
      </c>
      <c r="D75" s="263"/>
      <c r="E75" s="263">
        <f t="shared" si="2"/>
        <v>0</v>
      </c>
      <c r="F75" s="271"/>
      <c r="G75" s="263"/>
      <c r="H75" s="263">
        <f>IFERROR(VLOOKUP(A75,Cargas!$B$3:$I$93,3,FALSE),0)</f>
        <v>0</v>
      </c>
      <c r="I75" s="263">
        <f>IFERROR(VLOOKUP(A75,Cargas!$B$3:$I$93,4,FALSE),0)</f>
        <v>0</v>
      </c>
      <c r="J75" s="263">
        <f>IFERROR(VLOOKUP(A75,Cargas!$B$3:$I$93,5,FALSE),0)</f>
        <v>0</v>
      </c>
      <c r="K75" s="263">
        <f>IFERROR(VLOOKUP(A75,Cargas!$B$3:$I$93,6,FALSE),0)</f>
        <v>0</v>
      </c>
      <c r="L75" s="263">
        <f>IFERROR(VLOOKUP(A75,Cargas!$B$3:$I$93,7,FALSE),0)</f>
        <v>0</v>
      </c>
      <c r="AB75" s="123">
        <f t="shared" si="4"/>
        <v>0</v>
      </c>
      <c r="AC75" s="123">
        <f t="shared" si="4"/>
        <v>0</v>
      </c>
      <c r="AD75" s="123">
        <f t="shared" si="4"/>
        <v>0</v>
      </c>
      <c r="AE75" s="123">
        <f t="shared" si="4"/>
        <v>0</v>
      </c>
      <c r="AF75" s="123">
        <f t="shared" si="4"/>
        <v>0</v>
      </c>
      <c r="AG75" s="123">
        <f t="shared" si="4"/>
        <v>0</v>
      </c>
      <c r="AH75" s="122">
        <f t="shared" si="1"/>
        <v>0</v>
      </c>
    </row>
    <row r="76" spans="1:34" s="75" customFormat="1" ht="15.75">
      <c r="A76" s="125">
        <v>69</v>
      </c>
      <c r="B76" s="73"/>
      <c r="C76" s="126" t="s">
        <v>165</v>
      </c>
      <c r="D76" s="263"/>
      <c r="E76" s="263">
        <f t="shared" si="2"/>
        <v>0</v>
      </c>
      <c r="F76" s="263"/>
      <c r="G76" s="263"/>
      <c r="H76" s="263">
        <f>IFERROR(VLOOKUP(A76,Cargas!$B$3:$I$93,3,FALSE),0)</f>
        <v>0</v>
      </c>
      <c r="I76" s="263">
        <f>IFERROR(VLOOKUP(A76,Cargas!$B$3:$I$93,4,FALSE),0)</f>
        <v>0</v>
      </c>
      <c r="J76" s="263">
        <f>IFERROR(VLOOKUP(A76,Cargas!$B$3:$I$93,5,FALSE),0)</f>
        <v>0</v>
      </c>
      <c r="K76" s="263">
        <f>IFERROR(VLOOKUP(A76,Cargas!$B$3:$I$93,6,FALSE),0)</f>
        <v>0</v>
      </c>
      <c r="L76" s="263">
        <f>IFERROR(VLOOKUP(A76,Cargas!$B$3:$I$93,7,FALSE),0)</f>
        <v>0</v>
      </c>
      <c r="AB76" s="123">
        <f t="shared" si="4"/>
        <v>0</v>
      </c>
      <c r="AC76" s="123">
        <f t="shared" si="4"/>
        <v>0</v>
      </c>
      <c r="AD76" s="123">
        <f t="shared" si="4"/>
        <v>0</v>
      </c>
      <c r="AE76" s="123">
        <f t="shared" si="4"/>
        <v>0</v>
      </c>
      <c r="AF76" s="123">
        <f t="shared" si="4"/>
        <v>0</v>
      </c>
      <c r="AG76" s="123">
        <f t="shared" si="4"/>
        <v>0</v>
      </c>
      <c r="AH76" s="122">
        <f t="shared" si="1"/>
        <v>0</v>
      </c>
    </row>
    <row r="77" spans="1:34" s="74" customFormat="1" ht="15.75">
      <c r="A77" s="125">
        <v>70</v>
      </c>
      <c r="B77" s="73"/>
      <c r="C77" s="126" t="s">
        <v>108</v>
      </c>
      <c r="D77" s="263"/>
      <c r="E77" s="263">
        <f t="shared" si="2"/>
        <v>0</v>
      </c>
      <c r="F77" s="263"/>
      <c r="G77" s="263"/>
      <c r="H77" s="263">
        <f>IFERROR(VLOOKUP(A77,Cargas!$B$3:$I$93,3,FALSE),0)</f>
        <v>0</v>
      </c>
      <c r="I77" s="263">
        <f>IFERROR(VLOOKUP(A77,Cargas!$B$3:$I$93,4,FALSE),0)</f>
        <v>0</v>
      </c>
      <c r="J77" s="263">
        <f>IFERROR(VLOOKUP(A77,Cargas!$B$3:$I$93,5,FALSE),0)</f>
        <v>0</v>
      </c>
      <c r="K77" s="263">
        <f>IFERROR(VLOOKUP(A77,Cargas!$B$3:$I$93,6,FALSE),0)</f>
        <v>0</v>
      </c>
      <c r="L77" s="263">
        <f>IFERROR(VLOOKUP(A77,Cargas!$B$3:$I$93,7,FALSE),0)</f>
        <v>0</v>
      </c>
      <c r="AB77" s="123">
        <f t="shared" si="4"/>
        <v>0</v>
      </c>
      <c r="AC77" s="123">
        <f t="shared" si="4"/>
        <v>0</v>
      </c>
      <c r="AD77" s="123">
        <f t="shared" si="4"/>
        <v>0</v>
      </c>
      <c r="AE77" s="123">
        <f t="shared" si="4"/>
        <v>0</v>
      </c>
      <c r="AF77" s="123">
        <f t="shared" si="4"/>
        <v>0</v>
      </c>
      <c r="AG77" s="123">
        <f t="shared" si="4"/>
        <v>0</v>
      </c>
      <c r="AH77" s="122">
        <f t="shared" si="1"/>
        <v>0</v>
      </c>
    </row>
    <row r="78" spans="1:34" s="75" customFormat="1" ht="15.75">
      <c r="A78" s="125">
        <v>71</v>
      </c>
      <c r="B78" s="73"/>
      <c r="C78" s="127" t="s">
        <v>38</v>
      </c>
      <c r="D78" s="263"/>
      <c r="E78" s="263">
        <f t="shared" si="2"/>
        <v>0</v>
      </c>
      <c r="F78" s="271"/>
      <c r="G78" s="263"/>
      <c r="H78" s="263">
        <f>IFERROR(VLOOKUP(A78,Cargas!$B$3:$I$93,3,FALSE),0)</f>
        <v>0</v>
      </c>
      <c r="I78" s="263">
        <f>IFERROR(VLOOKUP(A78,Cargas!$B$3:$I$93,4,FALSE),0)</f>
        <v>0</v>
      </c>
      <c r="J78" s="263">
        <f>IFERROR(VLOOKUP(A78,Cargas!$B$3:$I$93,5,FALSE),0)</f>
        <v>0</v>
      </c>
      <c r="K78" s="263">
        <f>IFERROR(VLOOKUP(A78,Cargas!$B$3:$I$93,6,FALSE),0)</f>
        <v>0</v>
      </c>
      <c r="L78" s="263">
        <f>IFERROR(VLOOKUP(A78,Cargas!$B$3:$I$93,7,FALSE),0)</f>
        <v>0</v>
      </c>
      <c r="AB78" s="123">
        <f t="shared" si="4"/>
        <v>0</v>
      </c>
      <c r="AC78" s="123">
        <f t="shared" si="4"/>
        <v>0</v>
      </c>
      <c r="AD78" s="123">
        <f t="shared" si="4"/>
        <v>0</v>
      </c>
      <c r="AE78" s="123">
        <f t="shared" si="4"/>
        <v>0</v>
      </c>
      <c r="AF78" s="123">
        <f t="shared" si="4"/>
        <v>0</v>
      </c>
      <c r="AG78" s="123">
        <f t="shared" si="4"/>
        <v>0</v>
      </c>
      <c r="AH78" s="122">
        <f t="shared" si="1"/>
        <v>0</v>
      </c>
    </row>
    <row r="79" spans="1:34" s="74" customFormat="1" ht="15.75">
      <c r="A79" s="125">
        <v>72</v>
      </c>
      <c r="B79" s="73"/>
      <c r="C79" s="126" t="s">
        <v>246</v>
      </c>
      <c r="D79" s="263"/>
      <c r="E79" s="263">
        <f t="shared" si="2"/>
        <v>0</v>
      </c>
      <c r="F79" s="263"/>
      <c r="G79" s="263"/>
      <c r="H79" s="263">
        <f>IFERROR(VLOOKUP(A79,Cargas!$B$3:$I$93,3,FALSE),0)</f>
        <v>0</v>
      </c>
      <c r="I79" s="263">
        <f>IFERROR(VLOOKUP(A79,Cargas!$B$3:$I$93,4,FALSE),0)</f>
        <v>0</v>
      </c>
      <c r="J79" s="263">
        <f>IFERROR(VLOOKUP(A79,Cargas!$B$3:$I$93,5,FALSE),0)</f>
        <v>0</v>
      </c>
      <c r="K79" s="263">
        <f>IFERROR(VLOOKUP(A79,Cargas!$B$3:$I$93,6,FALSE),0)</f>
        <v>0</v>
      </c>
      <c r="L79" s="263">
        <f>IFERROR(VLOOKUP(A79,Cargas!$B$3:$I$93,7,FALSE),0)</f>
        <v>0</v>
      </c>
      <c r="AB79" s="123">
        <f t="shared" si="4"/>
        <v>0</v>
      </c>
      <c r="AC79" s="123">
        <f t="shared" si="4"/>
        <v>0</v>
      </c>
      <c r="AD79" s="123">
        <f t="shared" si="4"/>
        <v>0</v>
      </c>
      <c r="AE79" s="123">
        <f t="shared" si="4"/>
        <v>0</v>
      </c>
      <c r="AF79" s="123">
        <f t="shared" si="4"/>
        <v>0</v>
      </c>
      <c r="AG79" s="123">
        <f t="shared" si="4"/>
        <v>0</v>
      </c>
      <c r="AH79" s="122">
        <f t="shared" ref="AH79:AH142" si="5">+SUM(AB79:AG79)</f>
        <v>0</v>
      </c>
    </row>
    <row r="80" spans="1:34" s="75" customFormat="1" ht="15.75">
      <c r="A80" s="125">
        <v>73</v>
      </c>
      <c r="B80" s="73"/>
      <c r="C80" s="126" t="s">
        <v>167</v>
      </c>
      <c r="D80" s="263"/>
      <c r="E80" s="263">
        <f t="shared" si="2"/>
        <v>0</v>
      </c>
      <c r="F80" s="263"/>
      <c r="G80" s="263"/>
      <c r="H80" s="263">
        <f>IFERROR(VLOOKUP(A80,Cargas!$B$3:$I$93,3,FALSE),0)</f>
        <v>0</v>
      </c>
      <c r="I80" s="263">
        <f>IFERROR(VLOOKUP(A80,Cargas!$B$3:$I$93,4,FALSE),0)</f>
        <v>0</v>
      </c>
      <c r="J80" s="263">
        <f>IFERROR(VLOOKUP(A80,Cargas!$B$3:$I$93,5,FALSE),0)</f>
        <v>0</v>
      </c>
      <c r="K80" s="263">
        <f>IFERROR(VLOOKUP(A80,Cargas!$B$3:$I$93,6,FALSE),0)</f>
        <v>0</v>
      </c>
      <c r="L80" s="263">
        <f>IFERROR(VLOOKUP(A80,Cargas!$B$3:$I$93,7,FALSE),0)</f>
        <v>0</v>
      </c>
      <c r="AB80" s="123">
        <f t="shared" si="4"/>
        <v>0</v>
      </c>
      <c r="AC80" s="123">
        <f t="shared" si="4"/>
        <v>0</v>
      </c>
      <c r="AD80" s="123">
        <f t="shared" si="4"/>
        <v>0</v>
      </c>
      <c r="AE80" s="123">
        <f t="shared" si="4"/>
        <v>0</v>
      </c>
      <c r="AF80" s="123">
        <f t="shared" si="4"/>
        <v>0</v>
      </c>
      <c r="AG80" s="123">
        <f t="shared" si="4"/>
        <v>0</v>
      </c>
      <c r="AH80" s="122">
        <f t="shared" si="5"/>
        <v>0</v>
      </c>
    </row>
    <row r="81" spans="1:34" s="75" customFormat="1" ht="15.75">
      <c r="A81" s="125">
        <v>74</v>
      </c>
      <c r="B81" s="73"/>
      <c r="C81" s="126" t="s">
        <v>153</v>
      </c>
      <c r="D81" s="263"/>
      <c r="E81" s="263">
        <f t="shared" ref="E81:E144" si="6">+SUM(H81:L81)</f>
        <v>0</v>
      </c>
      <c r="F81" s="263"/>
      <c r="G81" s="263"/>
      <c r="H81" s="263">
        <f>IFERROR(VLOOKUP(A81,Cargas!$B$3:$I$93,3,FALSE),0)</f>
        <v>0</v>
      </c>
      <c r="I81" s="263">
        <f>IFERROR(VLOOKUP(A81,Cargas!$B$3:$I$93,4,FALSE),0)</f>
        <v>0</v>
      </c>
      <c r="J81" s="263">
        <f>IFERROR(VLOOKUP(A81,Cargas!$B$3:$I$93,5,FALSE),0)</f>
        <v>0</v>
      </c>
      <c r="K81" s="263">
        <f>IFERROR(VLOOKUP(A81,Cargas!$B$3:$I$93,6,FALSE),0)</f>
        <v>0</v>
      </c>
      <c r="L81" s="263">
        <f>IFERROR(VLOOKUP(A81,Cargas!$B$3:$I$93,7,FALSE),0)</f>
        <v>0</v>
      </c>
      <c r="AB81" s="123">
        <f t="shared" si="4"/>
        <v>0</v>
      </c>
      <c r="AC81" s="123">
        <f t="shared" si="4"/>
        <v>0</v>
      </c>
      <c r="AD81" s="123">
        <f t="shared" si="4"/>
        <v>0</v>
      </c>
      <c r="AE81" s="123">
        <f t="shared" si="4"/>
        <v>0</v>
      </c>
      <c r="AF81" s="123">
        <f t="shared" si="4"/>
        <v>0</v>
      </c>
      <c r="AG81" s="123">
        <f t="shared" si="4"/>
        <v>0</v>
      </c>
      <c r="AH81" s="122">
        <f t="shared" si="5"/>
        <v>0</v>
      </c>
    </row>
    <row r="82" spans="1:34" s="74" customFormat="1" ht="15.75">
      <c r="A82" s="125">
        <v>75</v>
      </c>
      <c r="B82" s="73"/>
      <c r="C82" s="126" t="s">
        <v>168</v>
      </c>
      <c r="D82" s="263"/>
      <c r="E82" s="263">
        <f t="shared" si="6"/>
        <v>0</v>
      </c>
      <c r="F82" s="263"/>
      <c r="G82" s="263"/>
      <c r="H82" s="263">
        <f>IFERROR(VLOOKUP(A82,Cargas!$B$3:$I$93,3,FALSE),0)</f>
        <v>0</v>
      </c>
      <c r="I82" s="263">
        <f>IFERROR(VLOOKUP(A82,Cargas!$B$3:$I$93,4,FALSE),0)</f>
        <v>0</v>
      </c>
      <c r="J82" s="263">
        <f>IFERROR(VLOOKUP(A82,Cargas!$B$3:$I$93,5,FALSE),0)</f>
        <v>0</v>
      </c>
      <c r="K82" s="263">
        <f>IFERROR(VLOOKUP(A82,Cargas!$B$3:$I$93,6,FALSE),0)</f>
        <v>0</v>
      </c>
      <c r="L82" s="263">
        <f>IFERROR(VLOOKUP(A82,Cargas!$B$3:$I$93,7,FALSE),0)</f>
        <v>0</v>
      </c>
      <c r="AB82" s="123">
        <f t="shared" si="4"/>
        <v>0</v>
      </c>
      <c r="AC82" s="123">
        <f t="shared" si="4"/>
        <v>0</v>
      </c>
      <c r="AD82" s="123">
        <f t="shared" si="4"/>
        <v>0</v>
      </c>
      <c r="AE82" s="123">
        <f t="shared" si="4"/>
        <v>0</v>
      </c>
      <c r="AF82" s="123">
        <f t="shared" si="4"/>
        <v>0</v>
      </c>
      <c r="AG82" s="123">
        <f t="shared" si="4"/>
        <v>0</v>
      </c>
      <c r="AH82" s="122">
        <f t="shared" si="5"/>
        <v>0</v>
      </c>
    </row>
    <row r="83" spans="1:34" s="75" customFormat="1" ht="15.75">
      <c r="A83" s="125">
        <v>76</v>
      </c>
      <c r="B83" s="73"/>
      <c r="C83" s="127" t="s">
        <v>44</v>
      </c>
      <c r="D83" s="263"/>
      <c r="E83" s="263">
        <f t="shared" si="6"/>
        <v>0</v>
      </c>
      <c r="F83" s="263"/>
      <c r="G83" s="263"/>
      <c r="H83" s="263">
        <f>IFERROR(VLOOKUP(A83,Cargas!$B$3:$I$93,3,FALSE),0)</f>
        <v>0</v>
      </c>
      <c r="I83" s="263">
        <f>IFERROR(VLOOKUP(A83,Cargas!$B$3:$I$93,4,FALSE),0)</f>
        <v>0</v>
      </c>
      <c r="J83" s="263">
        <f>IFERROR(VLOOKUP(A83,Cargas!$B$3:$I$93,5,FALSE),0)</f>
        <v>0</v>
      </c>
      <c r="K83" s="263">
        <f>IFERROR(VLOOKUP(A83,Cargas!$B$3:$I$93,6,FALSE),0)</f>
        <v>0</v>
      </c>
      <c r="L83" s="263">
        <f>IFERROR(VLOOKUP(A83,Cargas!$B$3:$I$93,7,FALSE),0)</f>
        <v>0</v>
      </c>
      <c r="AB83" s="123">
        <f t="shared" si="4"/>
        <v>0</v>
      </c>
      <c r="AC83" s="123">
        <f t="shared" si="4"/>
        <v>0</v>
      </c>
      <c r="AD83" s="123">
        <f t="shared" si="4"/>
        <v>0</v>
      </c>
      <c r="AE83" s="123">
        <f t="shared" si="4"/>
        <v>0</v>
      </c>
      <c r="AF83" s="123">
        <f t="shared" si="4"/>
        <v>0</v>
      </c>
      <c r="AG83" s="123">
        <f t="shared" si="4"/>
        <v>0</v>
      </c>
      <c r="AH83" s="122">
        <f t="shared" si="5"/>
        <v>0</v>
      </c>
    </row>
    <row r="84" spans="1:34" s="74" customFormat="1" ht="15.75">
      <c r="A84" s="125">
        <v>77</v>
      </c>
      <c r="B84" s="73"/>
      <c r="C84" s="126" t="s">
        <v>134</v>
      </c>
      <c r="D84" s="263"/>
      <c r="E84" s="263">
        <f t="shared" si="6"/>
        <v>0</v>
      </c>
      <c r="F84" s="263"/>
      <c r="G84" s="263"/>
      <c r="H84" s="263">
        <f>IFERROR(VLOOKUP(A84,Cargas!$B$3:$I$93,3,FALSE),0)</f>
        <v>0</v>
      </c>
      <c r="I84" s="263">
        <f>IFERROR(VLOOKUP(A84,Cargas!$B$3:$I$93,4,FALSE),0)</f>
        <v>0</v>
      </c>
      <c r="J84" s="263">
        <f>IFERROR(VLOOKUP(A84,Cargas!$B$3:$I$93,5,FALSE),0)</f>
        <v>0</v>
      </c>
      <c r="K84" s="263">
        <f>IFERROR(VLOOKUP(A84,Cargas!$B$3:$I$93,6,FALSE),0)</f>
        <v>0</v>
      </c>
      <c r="L84" s="263">
        <f>IFERROR(VLOOKUP(A84,Cargas!$B$3:$I$93,7,FALSE),0)</f>
        <v>0</v>
      </c>
      <c r="AB84" s="123">
        <f t="shared" si="4"/>
        <v>0</v>
      </c>
      <c r="AC84" s="123">
        <f t="shared" si="4"/>
        <v>0</v>
      </c>
      <c r="AD84" s="123">
        <f t="shared" si="4"/>
        <v>0</v>
      </c>
      <c r="AE84" s="123">
        <f t="shared" si="4"/>
        <v>0</v>
      </c>
      <c r="AF84" s="123">
        <f t="shared" si="4"/>
        <v>0</v>
      </c>
      <c r="AG84" s="123">
        <f t="shared" si="4"/>
        <v>0</v>
      </c>
      <c r="AH84" s="122">
        <f t="shared" si="5"/>
        <v>0</v>
      </c>
    </row>
    <row r="85" spans="1:34" s="75" customFormat="1" ht="15.75">
      <c r="A85" s="125">
        <v>78</v>
      </c>
      <c r="B85" s="73"/>
      <c r="C85" s="127" t="s">
        <v>230</v>
      </c>
      <c r="D85" s="263"/>
      <c r="E85" s="263">
        <f t="shared" si="6"/>
        <v>0</v>
      </c>
      <c r="F85" s="263"/>
      <c r="G85" s="263"/>
      <c r="H85" s="263">
        <f>IFERROR(VLOOKUP(A85,Cargas!$B$3:$I$93,3,FALSE),0)</f>
        <v>0</v>
      </c>
      <c r="I85" s="263">
        <f>IFERROR(VLOOKUP(A85,Cargas!$B$3:$I$93,4,FALSE),0)</f>
        <v>0</v>
      </c>
      <c r="J85" s="263">
        <f>IFERROR(VLOOKUP(A85,Cargas!$B$3:$I$93,5,FALSE),0)</f>
        <v>0</v>
      </c>
      <c r="K85" s="263">
        <f>IFERROR(VLOOKUP(A85,Cargas!$B$3:$I$93,6,FALSE),0)</f>
        <v>0</v>
      </c>
      <c r="L85" s="263">
        <f>IFERROR(VLOOKUP(A85,Cargas!$B$3:$I$93,7,FALSE),0)</f>
        <v>0</v>
      </c>
      <c r="AB85" s="123">
        <f t="shared" si="4"/>
        <v>0</v>
      </c>
      <c r="AC85" s="123">
        <f t="shared" si="4"/>
        <v>0</v>
      </c>
      <c r="AD85" s="123">
        <f t="shared" si="4"/>
        <v>0</v>
      </c>
      <c r="AE85" s="123">
        <f t="shared" si="4"/>
        <v>0</v>
      </c>
      <c r="AF85" s="123">
        <f t="shared" si="4"/>
        <v>0</v>
      </c>
      <c r="AG85" s="123">
        <f t="shared" si="4"/>
        <v>0</v>
      </c>
      <c r="AH85" s="122">
        <f t="shared" si="5"/>
        <v>0</v>
      </c>
    </row>
    <row r="86" spans="1:34" s="75" customFormat="1" ht="15.75">
      <c r="A86" s="125">
        <v>79</v>
      </c>
      <c r="B86" s="73"/>
      <c r="C86" s="126" t="s">
        <v>231</v>
      </c>
      <c r="D86" s="263"/>
      <c r="E86" s="263">
        <f t="shared" si="6"/>
        <v>0</v>
      </c>
      <c r="F86" s="263"/>
      <c r="G86" s="263"/>
      <c r="H86" s="263">
        <f>IFERROR(VLOOKUP(A86,Cargas!$B$3:$I$93,3,FALSE),0)</f>
        <v>0</v>
      </c>
      <c r="I86" s="263">
        <f>IFERROR(VLOOKUP(A86,Cargas!$B$3:$I$93,4,FALSE),0)</f>
        <v>0</v>
      </c>
      <c r="J86" s="263">
        <f>IFERROR(VLOOKUP(A86,Cargas!$B$3:$I$93,5,FALSE),0)</f>
        <v>0</v>
      </c>
      <c r="K86" s="263">
        <f>IFERROR(VLOOKUP(A86,Cargas!$B$3:$I$93,6,FALSE),0)</f>
        <v>0</v>
      </c>
      <c r="L86" s="263">
        <f>IFERROR(VLOOKUP(A86,Cargas!$B$3:$I$93,7,FALSE),0)</f>
        <v>0</v>
      </c>
      <c r="AB86" s="123">
        <f t="shared" si="4"/>
        <v>0</v>
      </c>
      <c r="AC86" s="123">
        <f t="shared" si="4"/>
        <v>0</v>
      </c>
      <c r="AD86" s="123">
        <f t="shared" si="4"/>
        <v>0</v>
      </c>
      <c r="AE86" s="123">
        <f t="shared" si="4"/>
        <v>0</v>
      </c>
      <c r="AF86" s="123">
        <f t="shared" si="4"/>
        <v>0</v>
      </c>
      <c r="AG86" s="123">
        <f t="shared" si="4"/>
        <v>0</v>
      </c>
      <c r="AH86" s="122">
        <f t="shared" si="5"/>
        <v>0</v>
      </c>
    </row>
    <row r="87" spans="1:34" s="74" customFormat="1" ht="15.75">
      <c r="A87" s="125">
        <v>80</v>
      </c>
      <c r="B87" s="73"/>
      <c r="C87" s="126" t="s">
        <v>39</v>
      </c>
      <c r="D87" s="263"/>
      <c r="E87" s="263">
        <f t="shared" si="6"/>
        <v>0</v>
      </c>
      <c r="F87" s="263"/>
      <c r="G87" s="263"/>
      <c r="H87" s="263">
        <f>IFERROR(VLOOKUP(A87,Cargas!$B$3:$I$93,3,FALSE),0)</f>
        <v>0</v>
      </c>
      <c r="I87" s="263">
        <f>IFERROR(VLOOKUP(A87,Cargas!$B$3:$I$93,4,FALSE),0)</f>
        <v>0</v>
      </c>
      <c r="J87" s="263">
        <f>IFERROR(VLOOKUP(A87,Cargas!$B$3:$I$93,5,FALSE),0)</f>
        <v>0</v>
      </c>
      <c r="K87" s="263">
        <f>IFERROR(VLOOKUP(A87,Cargas!$B$3:$I$93,6,FALSE),0)</f>
        <v>0</v>
      </c>
      <c r="L87" s="263">
        <f>IFERROR(VLOOKUP(A87,Cargas!$B$3:$I$93,7,FALSE),0)</f>
        <v>0</v>
      </c>
      <c r="AB87" s="123">
        <f t="shared" si="4"/>
        <v>0</v>
      </c>
      <c r="AC87" s="123">
        <f t="shared" si="4"/>
        <v>0</v>
      </c>
      <c r="AD87" s="123">
        <f t="shared" si="4"/>
        <v>0</v>
      </c>
      <c r="AE87" s="123">
        <f t="shared" si="4"/>
        <v>0</v>
      </c>
      <c r="AF87" s="123">
        <f t="shared" si="4"/>
        <v>0</v>
      </c>
      <c r="AG87" s="123">
        <f t="shared" si="4"/>
        <v>0</v>
      </c>
      <c r="AH87" s="122">
        <f t="shared" si="5"/>
        <v>0</v>
      </c>
    </row>
    <row r="88" spans="1:34" s="75" customFormat="1" ht="15.75">
      <c r="A88" s="125">
        <v>81</v>
      </c>
      <c r="B88" s="73"/>
      <c r="C88" s="126" t="s">
        <v>169</v>
      </c>
      <c r="D88" s="263"/>
      <c r="E88" s="263">
        <f t="shared" si="6"/>
        <v>0</v>
      </c>
      <c r="F88" s="263"/>
      <c r="G88" s="263"/>
      <c r="H88" s="263">
        <f>IFERROR(VLOOKUP(A88,Cargas!$B$3:$I$93,3,FALSE),0)</f>
        <v>0</v>
      </c>
      <c r="I88" s="263">
        <f>IFERROR(VLOOKUP(A88,Cargas!$B$3:$I$93,4,FALSE),0)</f>
        <v>0</v>
      </c>
      <c r="J88" s="263">
        <f>IFERROR(VLOOKUP(A88,Cargas!$B$3:$I$93,5,FALSE),0)</f>
        <v>0</v>
      </c>
      <c r="K88" s="263">
        <f>IFERROR(VLOOKUP(A88,Cargas!$B$3:$I$93,6,FALSE),0)</f>
        <v>0</v>
      </c>
      <c r="L88" s="263">
        <f>IFERROR(VLOOKUP(A88,Cargas!$B$3:$I$93,7,FALSE),0)</f>
        <v>0</v>
      </c>
      <c r="AB88" s="123">
        <f t="shared" si="4"/>
        <v>0</v>
      </c>
      <c r="AC88" s="123">
        <f t="shared" si="4"/>
        <v>0</v>
      </c>
      <c r="AD88" s="123">
        <f t="shared" si="4"/>
        <v>0</v>
      </c>
      <c r="AE88" s="123">
        <f t="shared" si="4"/>
        <v>0</v>
      </c>
      <c r="AF88" s="123">
        <f t="shared" si="4"/>
        <v>0</v>
      </c>
      <c r="AG88" s="123">
        <f t="shared" si="4"/>
        <v>0</v>
      </c>
      <c r="AH88" s="122">
        <f t="shared" si="5"/>
        <v>0</v>
      </c>
    </row>
    <row r="89" spans="1:34" s="74" customFormat="1" ht="15.75">
      <c r="A89" s="125">
        <v>82</v>
      </c>
      <c r="B89" s="73"/>
      <c r="C89" s="127" t="s">
        <v>40</v>
      </c>
      <c r="D89" s="271"/>
      <c r="E89" s="263">
        <f t="shared" si="6"/>
        <v>0</v>
      </c>
      <c r="F89" s="263"/>
      <c r="G89" s="263"/>
      <c r="H89" s="263">
        <f>IFERROR(VLOOKUP(A89,Cargas!$B$3:$I$93,3,FALSE),0)</f>
        <v>0</v>
      </c>
      <c r="I89" s="263">
        <f>IFERROR(VLOOKUP(A89,Cargas!$B$3:$I$93,4,FALSE),0)</f>
        <v>0</v>
      </c>
      <c r="J89" s="263">
        <f>IFERROR(VLOOKUP(A89,Cargas!$B$3:$I$93,5,FALSE),0)</f>
        <v>0</v>
      </c>
      <c r="K89" s="263">
        <f>IFERROR(VLOOKUP(A89,Cargas!$B$3:$I$93,6,FALSE),0)</f>
        <v>0</v>
      </c>
      <c r="L89" s="263">
        <f>IFERROR(VLOOKUP(A89,Cargas!$B$3:$I$93,7,FALSE),0)</f>
        <v>0</v>
      </c>
      <c r="AB89" s="123">
        <f t="shared" si="4"/>
        <v>0</v>
      </c>
      <c r="AC89" s="123">
        <f t="shared" si="4"/>
        <v>0</v>
      </c>
      <c r="AD89" s="123">
        <f t="shared" si="4"/>
        <v>0</v>
      </c>
      <c r="AE89" s="123">
        <f t="shared" si="4"/>
        <v>0</v>
      </c>
      <c r="AF89" s="123">
        <f t="shared" si="4"/>
        <v>0</v>
      </c>
      <c r="AG89" s="123">
        <f t="shared" si="4"/>
        <v>0</v>
      </c>
      <c r="AH89" s="122">
        <f t="shared" si="5"/>
        <v>0</v>
      </c>
    </row>
    <row r="90" spans="1:34" s="75" customFormat="1" ht="15.75">
      <c r="A90" s="125">
        <v>83</v>
      </c>
      <c r="B90" s="73"/>
      <c r="C90" s="126" t="s">
        <v>109</v>
      </c>
      <c r="D90" s="263"/>
      <c r="E90" s="263">
        <f t="shared" si="6"/>
        <v>0</v>
      </c>
      <c r="F90" s="263"/>
      <c r="G90" s="263"/>
      <c r="H90" s="263">
        <f>IFERROR(VLOOKUP(A90,Cargas!$B$3:$I$93,3,FALSE),0)</f>
        <v>0</v>
      </c>
      <c r="I90" s="263">
        <f>IFERROR(VLOOKUP(A90,Cargas!$B$3:$I$93,4,FALSE),0)</f>
        <v>0</v>
      </c>
      <c r="J90" s="263">
        <f>IFERROR(VLOOKUP(A90,Cargas!$B$3:$I$93,5,FALSE),0)</f>
        <v>0</v>
      </c>
      <c r="K90" s="263">
        <f>IFERROR(VLOOKUP(A90,Cargas!$B$3:$I$93,6,FALSE),0)</f>
        <v>0</v>
      </c>
      <c r="L90" s="263">
        <f>IFERROR(VLOOKUP(A90,Cargas!$B$3:$I$93,7,FALSE),0)</f>
        <v>0</v>
      </c>
      <c r="AB90" s="123">
        <f t="shared" si="4"/>
        <v>0</v>
      </c>
      <c r="AC90" s="123">
        <f t="shared" si="4"/>
        <v>0</v>
      </c>
      <c r="AD90" s="123">
        <f t="shared" si="4"/>
        <v>0</v>
      </c>
      <c r="AE90" s="123">
        <f t="shared" si="4"/>
        <v>0</v>
      </c>
      <c r="AF90" s="123">
        <f t="shared" si="4"/>
        <v>0</v>
      </c>
      <c r="AG90" s="123">
        <f t="shared" si="4"/>
        <v>0</v>
      </c>
      <c r="AH90" s="122">
        <f t="shared" si="5"/>
        <v>0</v>
      </c>
    </row>
    <row r="91" spans="1:34" s="74" customFormat="1" ht="15.75">
      <c r="A91" s="125">
        <v>84</v>
      </c>
      <c r="B91" s="73"/>
      <c r="C91" s="126" t="s">
        <v>170</v>
      </c>
      <c r="D91" s="263"/>
      <c r="E91" s="263">
        <f t="shared" si="6"/>
        <v>0</v>
      </c>
      <c r="F91" s="263"/>
      <c r="G91" s="263"/>
      <c r="H91" s="263">
        <f>IFERROR(VLOOKUP(A91,Cargas!$B$3:$I$93,3,FALSE),0)</f>
        <v>0</v>
      </c>
      <c r="I91" s="263">
        <f>IFERROR(VLOOKUP(A91,Cargas!$B$3:$I$93,4,FALSE),0)</f>
        <v>0</v>
      </c>
      <c r="J91" s="263">
        <f>IFERROR(VLOOKUP(A91,Cargas!$B$3:$I$93,5,FALSE),0)</f>
        <v>0</v>
      </c>
      <c r="K91" s="263">
        <f>IFERROR(VLOOKUP(A91,Cargas!$B$3:$I$93,6,FALSE),0)</f>
        <v>0</v>
      </c>
      <c r="L91" s="263">
        <f>IFERROR(VLOOKUP(A91,Cargas!$B$3:$I$93,7,FALSE),0)</f>
        <v>0</v>
      </c>
      <c r="AB91" s="123">
        <f t="shared" si="4"/>
        <v>0</v>
      </c>
      <c r="AC91" s="123">
        <f t="shared" si="4"/>
        <v>0</v>
      </c>
      <c r="AD91" s="123">
        <f t="shared" si="4"/>
        <v>0</v>
      </c>
      <c r="AE91" s="123">
        <f t="shared" si="4"/>
        <v>0</v>
      </c>
      <c r="AF91" s="123">
        <f t="shared" si="4"/>
        <v>0</v>
      </c>
      <c r="AG91" s="123">
        <f t="shared" si="4"/>
        <v>0</v>
      </c>
      <c r="AH91" s="122">
        <f t="shared" si="5"/>
        <v>0</v>
      </c>
    </row>
    <row r="92" spans="1:34" s="75" customFormat="1" ht="15.75">
      <c r="A92" s="125">
        <v>85</v>
      </c>
      <c r="B92" s="73"/>
      <c r="C92" s="126" t="s">
        <v>253</v>
      </c>
      <c r="D92" s="263"/>
      <c r="E92" s="263">
        <f t="shared" si="6"/>
        <v>0</v>
      </c>
      <c r="F92" s="263"/>
      <c r="G92" s="263"/>
      <c r="H92" s="263">
        <f>IFERROR(VLOOKUP(A92,Cargas!$B$3:$I$93,3,FALSE),0)</f>
        <v>0</v>
      </c>
      <c r="I92" s="263">
        <f>IFERROR(VLOOKUP(A92,Cargas!$B$3:$I$93,4,FALSE),0)</f>
        <v>0</v>
      </c>
      <c r="J92" s="263">
        <f>IFERROR(VLOOKUP(A92,Cargas!$B$3:$I$93,5,FALSE),0)</f>
        <v>0</v>
      </c>
      <c r="K92" s="263">
        <f>IFERROR(VLOOKUP(A92,Cargas!$B$3:$I$93,6,FALSE),0)</f>
        <v>0</v>
      </c>
      <c r="L92" s="263">
        <f>IFERROR(VLOOKUP(A92,Cargas!$B$3:$I$93,7,FALSE),0)</f>
        <v>0</v>
      </c>
      <c r="AB92" s="123">
        <f t="shared" si="4"/>
        <v>0</v>
      </c>
      <c r="AC92" s="123">
        <f t="shared" si="4"/>
        <v>0</v>
      </c>
      <c r="AD92" s="123">
        <f t="shared" si="4"/>
        <v>0</v>
      </c>
      <c r="AE92" s="123">
        <f t="shared" si="4"/>
        <v>0</v>
      </c>
      <c r="AF92" s="123">
        <f t="shared" si="4"/>
        <v>0</v>
      </c>
      <c r="AG92" s="123">
        <f t="shared" si="4"/>
        <v>0</v>
      </c>
      <c r="AH92" s="122">
        <f t="shared" si="5"/>
        <v>0</v>
      </c>
    </row>
    <row r="93" spans="1:34" s="75" customFormat="1" ht="15.75">
      <c r="A93" s="125">
        <v>86</v>
      </c>
      <c r="B93" s="73"/>
      <c r="C93" s="127" t="s">
        <v>102</v>
      </c>
      <c r="D93" s="271"/>
      <c r="E93" s="263">
        <f t="shared" si="6"/>
        <v>0</v>
      </c>
      <c r="F93" s="263"/>
      <c r="G93" s="263"/>
      <c r="H93" s="263">
        <f>IFERROR(VLOOKUP(A93,Cargas!$B$3:$I$93,3,FALSE),0)</f>
        <v>0</v>
      </c>
      <c r="I93" s="263">
        <f>IFERROR(VLOOKUP(A93,Cargas!$B$3:$I$93,4,FALSE),0)</f>
        <v>0</v>
      </c>
      <c r="J93" s="263">
        <f>IFERROR(VLOOKUP(A93,Cargas!$B$3:$I$93,5,FALSE),0)</f>
        <v>0</v>
      </c>
      <c r="K93" s="263">
        <f>IFERROR(VLOOKUP(A93,Cargas!$B$3:$I$93,6,FALSE),0)</f>
        <v>0</v>
      </c>
      <c r="L93" s="263">
        <f>IFERROR(VLOOKUP(A93,Cargas!$B$3:$I$93,7,FALSE),0)</f>
        <v>0</v>
      </c>
      <c r="AB93" s="123">
        <f t="shared" si="4"/>
        <v>0</v>
      </c>
      <c r="AC93" s="123">
        <f t="shared" si="4"/>
        <v>0</v>
      </c>
      <c r="AD93" s="123">
        <f t="shared" si="4"/>
        <v>0</v>
      </c>
      <c r="AE93" s="123">
        <f t="shared" si="4"/>
        <v>0</v>
      </c>
      <c r="AF93" s="123">
        <f t="shared" si="4"/>
        <v>0</v>
      </c>
      <c r="AG93" s="123">
        <f t="shared" si="4"/>
        <v>0</v>
      </c>
      <c r="AH93" s="122">
        <f t="shared" si="5"/>
        <v>0</v>
      </c>
    </row>
    <row r="94" spans="1:34" s="75" customFormat="1" ht="15.75">
      <c r="A94" s="125">
        <v>87</v>
      </c>
      <c r="B94" s="73"/>
      <c r="C94" s="126" t="s">
        <v>110</v>
      </c>
      <c r="D94" s="263"/>
      <c r="E94" s="263">
        <f t="shared" si="6"/>
        <v>0</v>
      </c>
      <c r="F94" s="263"/>
      <c r="G94" s="263"/>
      <c r="H94" s="263">
        <f>IFERROR(VLOOKUP(A94,Cargas!$B$3:$I$93,3,FALSE),0)</f>
        <v>0</v>
      </c>
      <c r="I94" s="263">
        <f>IFERROR(VLOOKUP(A94,Cargas!$B$3:$I$93,4,FALSE),0)</f>
        <v>0</v>
      </c>
      <c r="J94" s="263">
        <f>IFERROR(VLOOKUP(A94,Cargas!$B$3:$I$93,5,FALSE),0)</f>
        <v>0</v>
      </c>
      <c r="K94" s="263">
        <f>IFERROR(VLOOKUP(A94,Cargas!$B$3:$I$93,6,FALSE),0)</f>
        <v>0</v>
      </c>
      <c r="L94" s="263">
        <f>IFERROR(VLOOKUP(A94,Cargas!$B$3:$I$93,7,FALSE),0)</f>
        <v>0</v>
      </c>
      <c r="AB94" s="123">
        <f t="shared" si="4"/>
        <v>0</v>
      </c>
      <c r="AC94" s="123">
        <f t="shared" si="4"/>
        <v>0</v>
      </c>
      <c r="AD94" s="123">
        <f t="shared" si="4"/>
        <v>0</v>
      </c>
      <c r="AE94" s="123">
        <f t="shared" si="4"/>
        <v>0</v>
      </c>
      <c r="AF94" s="123">
        <f t="shared" si="4"/>
        <v>0</v>
      </c>
      <c r="AG94" s="123">
        <f t="shared" si="4"/>
        <v>0</v>
      </c>
      <c r="AH94" s="122">
        <f t="shared" si="5"/>
        <v>0</v>
      </c>
    </row>
    <row r="95" spans="1:34" s="75" customFormat="1" ht="15.75">
      <c r="A95" s="125">
        <v>88</v>
      </c>
      <c r="B95" s="73"/>
      <c r="C95" s="127" t="s">
        <v>171</v>
      </c>
      <c r="D95" s="263"/>
      <c r="E95" s="263">
        <f t="shared" si="6"/>
        <v>0</v>
      </c>
      <c r="F95" s="263"/>
      <c r="G95" s="263"/>
      <c r="H95" s="263">
        <f>IFERROR(VLOOKUP(A95,Cargas!$B$3:$I$93,3,FALSE),0)</f>
        <v>0</v>
      </c>
      <c r="I95" s="263">
        <f>IFERROR(VLOOKUP(A95,Cargas!$B$3:$I$93,4,FALSE),0)</f>
        <v>0</v>
      </c>
      <c r="J95" s="263">
        <f>IFERROR(VLOOKUP(A95,Cargas!$B$3:$I$93,5,FALSE),0)</f>
        <v>0</v>
      </c>
      <c r="K95" s="263">
        <f>IFERROR(VLOOKUP(A95,Cargas!$B$3:$I$93,6,FALSE),0)</f>
        <v>0</v>
      </c>
      <c r="L95" s="263">
        <f>IFERROR(VLOOKUP(A95,Cargas!$B$3:$I$93,7,FALSE),0)</f>
        <v>0</v>
      </c>
      <c r="AB95" s="123">
        <f t="shared" si="4"/>
        <v>0</v>
      </c>
      <c r="AC95" s="123">
        <f t="shared" si="4"/>
        <v>0</v>
      </c>
      <c r="AD95" s="123">
        <f t="shared" si="4"/>
        <v>0</v>
      </c>
      <c r="AE95" s="123">
        <f t="shared" si="4"/>
        <v>0</v>
      </c>
      <c r="AF95" s="123">
        <f t="shared" si="4"/>
        <v>0</v>
      </c>
      <c r="AG95" s="123">
        <f t="shared" si="4"/>
        <v>0</v>
      </c>
      <c r="AH95" s="122">
        <f t="shared" si="5"/>
        <v>0</v>
      </c>
    </row>
    <row r="96" spans="1:34" s="75" customFormat="1" ht="15.75">
      <c r="A96" s="125">
        <v>89</v>
      </c>
      <c r="B96" s="73"/>
      <c r="C96" s="126" t="s">
        <v>103</v>
      </c>
      <c r="D96" s="263"/>
      <c r="E96" s="263">
        <f t="shared" si="6"/>
        <v>0</v>
      </c>
      <c r="F96" s="263"/>
      <c r="G96" s="263"/>
      <c r="H96" s="263">
        <f>IFERROR(VLOOKUP(A96,Cargas!$B$3:$I$93,3,FALSE),0)</f>
        <v>0</v>
      </c>
      <c r="I96" s="263">
        <f>IFERROR(VLOOKUP(A96,Cargas!$B$3:$I$93,4,FALSE),0)</f>
        <v>0</v>
      </c>
      <c r="J96" s="263">
        <f>IFERROR(VLOOKUP(A96,Cargas!$B$3:$I$93,5,FALSE),0)</f>
        <v>0</v>
      </c>
      <c r="K96" s="263">
        <f>IFERROR(VLOOKUP(A96,Cargas!$B$3:$I$93,6,FALSE),0)</f>
        <v>0</v>
      </c>
      <c r="L96" s="263">
        <f>IFERROR(VLOOKUP(A96,Cargas!$B$3:$I$93,7,FALSE),0)</f>
        <v>0</v>
      </c>
      <c r="AB96" s="123">
        <f t="shared" si="4"/>
        <v>0</v>
      </c>
      <c r="AC96" s="123">
        <f t="shared" si="4"/>
        <v>0</v>
      </c>
      <c r="AD96" s="123">
        <f t="shared" si="4"/>
        <v>0</v>
      </c>
      <c r="AE96" s="123">
        <f t="shared" si="4"/>
        <v>0</v>
      </c>
      <c r="AF96" s="123">
        <f t="shared" si="4"/>
        <v>0</v>
      </c>
      <c r="AG96" s="123">
        <f t="shared" si="4"/>
        <v>0</v>
      </c>
      <c r="AH96" s="122">
        <f t="shared" si="5"/>
        <v>0</v>
      </c>
    </row>
    <row r="97" spans="1:34" s="74" customFormat="1" ht="15.75">
      <c r="A97" s="125">
        <v>90</v>
      </c>
      <c r="B97" s="73"/>
      <c r="C97" s="126" t="s">
        <v>232</v>
      </c>
      <c r="D97" s="263"/>
      <c r="E97" s="263">
        <f t="shared" si="6"/>
        <v>0</v>
      </c>
      <c r="F97" s="263"/>
      <c r="G97" s="263"/>
      <c r="H97" s="263">
        <f>IFERROR(VLOOKUP(A97,Cargas!$B$3:$I$93,3,FALSE),0)</f>
        <v>0</v>
      </c>
      <c r="I97" s="263">
        <f>IFERROR(VLOOKUP(A97,Cargas!$B$3:$I$93,4,FALSE),0)</f>
        <v>0</v>
      </c>
      <c r="J97" s="263">
        <f>IFERROR(VLOOKUP(A97,Cargas!$B$3:$I$93,5,FALSE),0)</f>
        <v>0</v>
      </c>
      <c r="K97" s="263">
        <f>IFERROR(VLOOKUP(A97,Cargas!$B$3:$I$93,6,FALSE),0)</f>
        <v>0</v>
      </c>
      <c r="L97" s="263">
        <f>IFERROR(VLOOKUP(A97,Cargas!$B$3:$I$93,7,FALSE),0)</f>
        <v>0</v>
      </c>
      <c r="AB97" s="123">
        <f t="shared" si="4"/>
        <v>0</v>
      </c>
      <c r="AC97" s="123">
        <f t="shared" si="4"/>
        <v>0</v>
      </c>
      <c r="AD97" s="123">
        <f t="shared" si="4"/>
        <v>0</v>
      </c>
      <c r="AE97" s="123">
        <f t="shared" si="4"/>
        <v>0</v>
      </c>
      <c r="AF97" s="123">
        <f t="shared" si="4"/>
        <v>0</v>
      </c>
      <c r="AG97" s="123">
        <f t="shared" si="4"/>
        <v>0</v>
      </c>
      <c r="AH97" s="122">
        <f t="shared" si="5"/>
        <v>0</v>
      </c>
    </row>
    <row r="98" spans="1:34" s="75" customFormat="1" ht="15.75">
      <c r="A98" s="125">
        <v>91</v>
      </c>
      <c r="B98" s="73"/>
      <c r="C98" s="126" t="s">
        <v>76</v>
      </c>
      <c r="D98" s="263"/>
      <c r="E98" s="263">
        <f t="shared" si="6"/>
        <v>0</v>
      </c>
      <c r="F98" s="263"/>
      <c r="G98" s="263"/>
      <c r="H98" s="263">
        <f>IFERROR(VLOOKUP(A98,Cargas!$B$3:$I$93,3,FALSE),0)</f>
        <v>0</v>
      </c>
      <c r="I98" s="263">
        <f>IFERROR(VLOOKUP(A98,Cargas!$B$3:$I$93,4,FALSE),0)</f>
        <v>0</v>
      </c>
      <c r="J98" s="263">
        <f>IFERROR(VLOOKUP(A98,Cargas!$B$3:$I$93,5,FALSE),0)</f>
        <v>0</v>
      </c>
      <c r="K98" s="263">
        <f>IFERROR(VLOOKUP(A98,Cargas!$B$3:$I$93,6,FALSE),0)</f>
        <v>0</v>
      </c>
      <c r="L98" s="263">
        <f>IFERROR(VLOOKUP(A98,Cargas!$B$3:$I$93,7,FALSE),0)</f>
        <v>0</v>
      </c>
      <c r="AB98" s="123">
        <f t="shared" si="4"/>
        <v>0</v>
      </c>
      <c r="AC98" s="123">
        <f t="shared" si="4"/>
        <v>0</v>
      </c>
      <c r="AD98" s="123">
        <f t="shared" si="4"/>
        <v>0</v>
      </c>
      <c r="AE98" s="123">
        <f t="shared" si="4"/>
        <v>0</v>
      </c>
      <c r="AF98" s="123">
        <f t="shared" si="4"/>
        <v>0</v>
      </c>
      <c r="AG98" s="123">
        <f t="shared" si="4"/>
        <v>0</v>
      </c>
      <c r="AH98" s="122">
        <f t="shared" si="5"/>
        <v>0</v>
      </c>
    </row>
    <row r="99" spans="1:34" s="74" customFormat="1" ht="15.75">
      <c r="A99" s="125">
        <v>92</v>
      </c>
      <c r="B99" s="73"/>
      <c r="C99" s="126" t="s">
        <v>53</v>
      </c>
      <c r="D99" s="263"/>
      <c r="E99" s="263">
        <f t="shared" si="6"/>
        <v>0</v>
      </c>
      <c r="F99" s="263"/>
      <c r="G99" s="263"/>
      <c r="H99" s="263">
        <f>IFERROR(VLOOKUP(A99,Cargas!$B$3:$I$93,3,FALSE),0)</f>
        <v>0</v>
      </c>
      <c r="I99" s="263">
        <f>IFERROR(VLOOKUP(A99,Cargas!$B$3:$I$93,4,FALSE),0)</f>
        <v>0</v>
      </c>
      <c r="J99" s="263">
        <f>IFERROR(VLOOKUP(A99,Cargas!$B$3:$I$93,5,FALSE),0)</f>
        <v>0</v>
      </c>
      <c r="K99" s="263">
        <f>IFERROR(VLOOKUP(A99,Cargas!$B$3:$I$93,6,FALSE),0)</f>
        <v>0</v>
      </c>
      <c r="L99" s="263">
        <f>IFERROR(VLOOKUP(A99,Cargas!$B$3:$I$93,7,FALSE),0)</f>
        <v>0</v>
      </c>
      <c r="AB99" s="123">
        <f t="shared" si="4"/>
        <v>0</v>
      </c>
      <c r="AC99" s="123">
        <f t="shared" si="4"/>
        <v>0</v>
      </c>
      <c r="AD99" s="123">
        <f t="shared" si="4"/>
        <v>0</v>
      </c>
      <c r="AE99" s="123">
        <f t="shared" si="4"/>
        <v>0</v>
      </c>
      <c r="AF99" s="123">
        <f t="shared" si="4"/>
        <v>0</v>
      </c>
      <c r="AG99" s="123">
        <f t="shared" si="4"/>
        <v>0</v>
      </c>
      <c r="AH99" s="122">
        <f t="shared" si="5"/>
        <v>0</v>
      </c>
    </row>
    <row r="100" spans="1:34" s="75" customFormat="1" ht="15.75">
      <c r="A100" s="125">
        <v>93</v>
      </c>
      <c r="B100" s="73"/>
      <c r="C100" s="126" t="s">
        <v>54</v>
      </c>
      <c r="D100" s="263"/>
      <c r="E100" s="263">
        <f t="shared" si="6"/>
        <v>0</v>
      </c>
      <c r="F100" s="263"/>
      <c r="G100" s="263"/>
      <c r="H100" s="263">
        <f>IFERROR(VLOOKUP(A100,Cargas!$B$3:$I$93,3,FALSE),0)</f>
        <v>0</v>
      </c>
      <c r="I100" s="263">
        <f>IFERROR(VLOOKUP(A100,Cargas!$B$3:$I$93,4,FALSE),0)</f>
        <v>0</v>
      </c>
      <c r="J100" s="263">
        <f>IFERROR(VLOOKUP(A100,Cargas!$B$3:$I$93,5,FALSE),0)</f>
        <v>0</v>
      </c>
      <c r="K100" s="263">
        <f>IFERROR(VLOOKUP(A100,Cargas!$B$3:$I$93,6,FALSE),0)</f>
        <v>0</v>
      </c>
      <c r="L100" s="263">
        <f>IFERROR(VLOOKUP(A100,Cargas!$B$3:$I$93,7,FALSE),0)</f>
        <v>0</v>
      </c>
      <c r="AB100" s="123">
        <f t="shared" si="4"/>
        <v>0</v>
      </c>
      <c r="AC100" s="123">
        <f t="shared" si="4"/>
        <v>0</v>
      </c>
      <c r="AD100" s="123">
        <f t="shared" si="4"/>
        <v>0</v>
      </c>
      <c r="AE100" s="123">
        <f t="shared" si="4"/>
        <v>0</v>
      </c>
      <c r="AF100" s="123">
        <f t="shared" si="4"/>
        <v>0</v>
      </c>
      <c r="AG100" s="123">
        <f t="shared" si="4"/>
        <v>0</v>
      </c>
      <c r="AH100" s="122">
        <f t="shared" si="5"/>
        <v>0</v>
      </c>
    </row>
    <row r="101" spans="1:34" s="75" customFormat="1" ht="15.75">
      <c r="A101" s="125">
        <v>94</v>
      </c>
      <c r="B101" s="73"/>
      <c r="C101" s="126" t="s">
        <v>55</v>
      </c>
      <c r="D101" s="263"/>
      <c r="E101" s="263">
        <f t="shared" si="6"/>
        <v>0</v>
      </c>
      <c r="F101" s="263"/>
      <c r="G101" s="263"/>
      <c r="H101" s="263">
        <f>IFERROR(VLOOKUP(A101,Cargas!$B$3:$I$93,3,FALSE),0)</f>
        <v>0</v>
      </c>
      <c r="I101" s="263">
        <f>IFERROR(VLOOKUP(A101,Cargas!$B$3:$I$93,4,FALSE),0)</f>
        <v>0</v>
      </c>
      <c r="J101" s="263">
        <f>IFERROR(VLOOKUP(A101,Cargas!$B$3:$I$93,5,FALSE),0)</f>
        <v>0</v>
      </c>
      <c r="K101" s="263">
        <f>IFERROR(VLOOKUP(A101,Cargas!$B$3:$I$93,6,FALSE),0)</f>
        <v>0</v>
      </c>
      <c r="L101" s="263">
        <f>IFERROR(VLOOKUP(A101,Cargas!$B$3:$I$93,7,FALSE),0)</f>
        <v>0</v>
      </c>
      <c r="AB101" s="123">
        <f t="shared" si="4"/>
        <v>0</v>
      </c>
      <c r="AC101" s="123">
        <f t="shared" si="4"/>
        <v>0</v>
      </c>
      <c r="AD101" s="123">
        <f t="shared" si="4"/>
        <v>0</v>
      </c>
      <c r="AE101" s="123">
        <f t="shared" si="4"/>
        <v>0</v>
      </c>
      <c r="AF101" s="123">
        <f t="shared" si="4"/>
        <v>0</v>
      </c>
      <c r="AG101" s="123">
        <f t="shared" si="4"/>
        <v>0</v>
      </c>
      <c r="AH101" s="122">
        <f t="shared" si="5"/>
        <v>0</v>
      </c>
    </row>
    <row r="102" spans="1:34" s="74" customFormat="1" ht="15.75">
      <c r="A102" s="125">
        <v>95</v>
      </c>
      <c r="B102" s="73"/>
      <c r="C102" s="127" t="s">
        <v>68</v>
      </c>
      <c r="D102" s="263"/>
      <c r="E102" s="263">
        <f t="shared" si="6"/>
        <v>0</v>
      </c>
      <c r="F102" s="263"/>
      <c r="G102" s="263"/>
      <c r="H102" s="263">
        <f>IFERROR(VLOOKUP(A102,Cargas!$B$3:$I$93,3,FALSE),0)</f>
        <v>0</v>
      </c>
      <c r="I102" s="263">
        <f>IFERROR(VLOOKUP(A102,Cargas!$B$3:$I$93,4,FALSE),0)</f>
        <v>0</v>
      </c>
      <c r="J102" s="263">
        <f>IFERROR(VLOOKUP(A102,Cargas!$B$3:$I$93,5,FALSE),0)</f>
        <v>0</v>
      </c>
      <c r="K102" s="263">
        <f>IFERROR(VLOOKUP(A102,Cargas!$B$3:$I$93,6,FALSE),0)</f>
        <v>0</v>
      </c>
      <c r="L102" s="263">
        <f>IFERROR(VLOOKUP(A102,Cargas!$B$3:$I$93,7,FALSE),0)</f>
        <v>0</v>
      </c>
      <c r="AB102" s="123">
        <f t="shared" si="4"/>
        <v>0</v>
      </c>
      <c r="AC102" s="123">
        <f t="shared" si="4"/>
        <v>0</v>
      </c>
      <c r="AD102" s="123">
        <f t="shared" si="4"/>
        <v>0</v>
      </c>
      <c r="AE102" s="123">
        <f t="shared" si="4"/>
        <v>0</v>
      </c>
      <c r="AF102" s="123">
        <f t="shared" si="4"/>
        <v>0</v>
      </c>
      <c r="AG102" s="123">
        <f t="shared" si="4"/>
        <v>0</v>
      </c>
      <c r="AH102" s="122">
        <f t="shared" si="5"/>
        <v>0</v>
      </c>
    </row>
    <row r="103" spans="1:34" s="75" customFormat="1" ht="15.75">
      <c r="A103" s="125">
        <v>97</v>
      </c>
      <c r="B103" s="73"/>
      <c r="C103" s="127" t="s">
        <v>77</v>
      </c>
      <c r="D103" s="263"/>
      <c r="E103" s="263">
        <f t="shared" si="6"/>
        <v>0</v>
      </c>
      <c r="F103" s="263"/>
      <c r="G103" s="263"/>
      <c r="H103" s="263">
        <f>IFERROR(VLOOKUP(A103,Cargas!$B$3:$I$93,3,FALSE),0)</f>
        <v>0</v>
      </c>
      <c r="I103" s="263">
        <f>IFERROR(VLOOKUP(A103,Cargas!$B$3:$I$93,4,FALSE),0)</f>
        <v>0</v>
      </c>
      <c r="J103" s="263">
        <f>IFERROR(VLOOKUP(A103,Cargas!$B$3:$I$93,5,FALSE),0)</f>
        <v>0</v>
      </c>
      <c r="K103" s="263">
        <f>IFERROR(VLOOKUP(A103,Cargas!$B$3:$I$93,6,FALSE),0)</f>
        <v>0</v>
      </c>
      <c r="L103" s="263">
        <f>IFERROR(VLOOKUP(A103,Cargas!$B$3:$I$93,7,FALSE),0)</f>
        <v>0</v>
      </c>
      <c r="AB103" s="123">
        <f t="shared" si="4"/>
        <v>0</v>
      </c>
      <c r="AC103" s="123">
        <f t="shared" si="4"/>
        <v>0</v>
      </c>
      <c r="AD103" s="123">
        <f t="shared" si="4"/>
        <v>0</v>
      </c>
      <c r="AE103" s="123">
        <f t="shared" si="4"/>
        <v>0</v>
      </c>
      <c r="AF103" s="123">
        <f t="shared" si="4"/>
        <v>0</v>
      </c>
      <c r="AG103" s="123">
        <f t="shared" si="4"/>
        <v>0</v>
      </c>
      <c r="AH103" s="122">
        <f t="shared" si="5"/>
        <v>0</v>
      </c>
    </row>
    <row r="104" spans="1:34" s="75" customFormat="1" ht="15.75">
      <c r="A104" s="125">
        <v>98</v>
      </c>
      <c r="B104" s="73"/>
      <c r="C104" s="126" t="s">
        <v>41</v>
      </c>
      <c r="D104" s="263"/>
      <c r="E104" s="263">
        <f t="shared" si="6"/>
        <v>0</v>
      </c>
      <c r="F104" s="263"/>
      <c r="G104" s="263"/>
      <c r="H104" s="263">
        <f>IFERROR(VLOOKUP(A104,Cargas!$B$3:$I$93,3,FALSE),0)</f>
        <v>0</v>
      </c>
      <c r="I104" s="263">
        <f>IFERROR(VLOOKUP(A104,Cargas!$B$3:$I$93,4,FALSE),0)</f>
        <v>0</v>
      </c>
      <c r="J104" s="263">
        <f>IFERROR(VLOOKUP(A104,Cargas!$B$3:$I$93,5,FALSE),0)</f>
        <v>0</v>
      </c>
      <c r="K104" s="263">
        <f>IFERROR(VLOOKUP(A104,Cargas!$B$3:$I$93,6,FALSE),0)</f>
        <v>0</v>
      </c>
      <c r="L104" s="263">
        <f>IFERROR(VLOOKUP(A104,Cargas!$B$3:$I$93,7,FALSE),0)</f>
        <v>0</v>
      </c>
      <c r="AB104" s="123">
        <f t="shared" si="4"/>
        <v>0</v>
      </c>
      <c r="AC104" s="123">
        <f t="shared" si="4"/>
        <v>0</v>
      </c>
      <c r="AD104" s="123">
        <f t="shared" si="4"/>
        <v>0</v>
      </c>
      <c r="AE104" s="123">
        <f t="shared" si="4"/>
        <v>0</v>
      </c>
      <c r="AF104" s="123">
        <f t="shared" si="4"/>
        <v>0</v>
      </c>
      <c r="AG104" s="123">
        <f t="shared" si="4"/>
        <v>0</v>
      </c>
      <c r="AH104" s="122">
        <f t="shared" si="5"/>
        <v>0</v>
      </c>
    </row>
    <row r="105" spans="1:34" s="74" customFormat="1" ht="15.75">
      <c r="A105" s="125">
        <v>99</v>
      </c>
      <c r="B105" s="73"/>
      <c r="C105" s="126" t="s">
        <v>261</v>
      </c>
      <c r="D105" s="263"/>
      <c r="E105" s="263">
        <f t="shared" si="6"/>
        <v>0</v>
      </c>
      <c r="F105" s="263"/>
      <c r="G105" s="263"/>
      <c r="H105" s="263">
        <f>IFERROR(VLOOKUP(A105,Cargas!$B$3:$I$93,3,FALSE),0)</f>
        <v>0</v>
      </c>
      <c r="I105" s="263">
        <f>IFERROR(VLOOKUP(A105,Cargas!$B$3:$I$93,4,FALSE),0)</f>
        <v>0</v>
      </c>
      <c r="J105" s="263">
        <f>IFERROR(VLOOKUP(A105,Cargas!$B$3:$I$93,5,FALSE),0)</f>
        <v>0</v>
      </c>
      <c r="K105" s="263">
        <f>IFERROR(VLOOKUP(A105,Cargas!$B$3:$I$93,6,FALSE),0)</f>
        <v>0</v>
      </c>
      <c r="L105" s="263">
        <f>IFERROR(VLOOKUP(A105,Cargas!$B$3:$I$93,7,FALSE),0)</f>
        <v>0</v>
      </c>
      <c r="AB105" s="123">
        <f t="shared" si="4"/>
        <v>0</v>
      </c>
      <c r="AC105" s="123">
        <f t="shared" si="4"/>
        <v>0</v>
      </c>
      <c r="AD105" s="123">
        <f t="shared" si="4"/>
        <v>0</v>
      </c>
      <c r="AE105" s="123">
        <f t="shared" si="4"/>
        <v>0</v>
      </c>
      <c r="AF105" s="123">
        <f t="shared" si="4"/>
        <v>0</v>
      </c>
      <c r="AG105" s="123">
        <f t="shared" si="4"/>
        <v>0</v>
      </c>
      <c r="AH105" s="122">
        <f t="shared" si="5"/>
        <v>0</v>
      </c>
    </row>
    <row r="106" spans="1:34" s="75" customFormat="1" ht="15.75">
      <c r="A106" s="125">
        <v>100</v>
      </c>
      <c r="B106" s="73"/>
      <c r="C106" s="127" t="s">
        <v>247</v>
      </c>
      <c r="D106" s="271"/>
      <c r="E106" s="263">
        <f t="shared" si="6"/>
        <v>0</v>
      </c>
      <c r="F106" s="263"/>
      <c r="G106" s="263"/>
      <c r="H106" s="263">
        <f>IFERROR(VLOOKUP(A106,Cargas!$B$3:$I$93,3,FALSE),0)</f>
        <v>0</v>
      </c>
      <c r="I106" s="263">
        <f>IFERROR(VLOOKUP(A106,Cargas!$B$3:$I$93,4,FALSE),0)</f>
        <v>0</v>
      </c>
      <c r="J106" s="263">
        <f>IFERROR(VLOOKUP(A106,Cargas!$B$3:$I$93,5,FALSE),0)</f>
        <v>0</v>
      </c>
      <c r="K106" s="263">
        <f>IFERROR(VLOOKUP(A106,Cargas!$B$3:$I$93,6,FALSE),0)</f>
        <v>0</v>
      </c>
      <c r="L106" s="263">
        <f>IFERROR(VLOOKUP(A106,Cargas!$B$3:$I$93,7,FALSE),0)</f>
        <v>0</v>
      </c>
      <c r="AB106" s="123">
        <f t="shared" si="4"/>
        <v>0</v>
      </c>
      <c r="AC106" s="123">
        <f t="shared" si="4"/>
        <v>0</v>
      </c>
      <c r="AD106" s="123">
        <f t="shared" si="4"/>
        <v>0</v>
      </c>
      <c r="AE106" s="123">
        <f t="shared" si="4"/>
        <v>0</v>
      </c>
      <c r="AF106" s="123">
        <f t="shared" si="4"/>
        <v>0</v>
      </c>
      <c r="AG106" s="123">
        <f t="shared" si="4"/>
        <v>0</v>
      </c>
      <c r="AH106" s="122">
        <f t="shared" si="5"/>
        <v>0</v>
      </c>
    </row>
    <row r="107" spans="1:34" s="75" customFormat="1" ht="15.75">
      <c r="A107" s="125">
        <v>101</v>
      </c>
      <c r="B107" s="73"/>
      <c r="C107" s="127" t="s">
        <v>45</v>
      </c>
      <c r="D107" s="263"/>
      <c r="E107" s="263">
        <f t="shared" si="6"/>
        <v>0</v>
      </c>
      <c r="F107" s="263"/>
      <c r="G107" s="263"/>
      <c r="H107" s="263">
        <f>IFERROR(VLOOKUP(A107,Cargas!$B$3:$I$93,3,FALSE),0)</f>
        <v>0</v>
      </c>
      <c r="I107" s="263">
        <f>IFERROR(VLOOKUP(A107,Cargas!$B$3:$I$93,4,FALSE),0)</f>
        <v>0</v>
      </c>
      <c r="J107" s="263">
        <f>IFERROR(VLOOKUP(A107,Cargas!$B$3:$I$93,5,FALSE),0)</f>
        <v>0</v>
      </c>
      <c r="K107" s="263">
        <f>IFERROR(VLOOKUP(A107,Cargas!$B$3:$I$93,6,FALSE),0)</f>
        <v>0</v>
      </c>
      <c r="L107" s="263">
        <f>IFERROR(VLOOKUP(A107,Cargas!$B$3:$I$93,7,FALSE),0)</f>
        <v>0</v>
      </c>
      <c r="AB107" s="123">
        <f t="shared" si="4"/>
        <v>0</v>
      </c>
      <c r="AC107" s="123">
        <f t="shared" si="4"/>
        <v>0</v>
      </c>
      <c r="AD107" s="123">
        <f t="shared" si="4"/>
        <v>0</v>
      </c>
      <c r="AE107" s="123">
        <f t="shared" si="4"/>
        <v>0</v>
      </c>
      <c r="AF107" s="123">
        <f t="shared" si="4"/>
        <v>0</v>
      </c>
      <c r="AG107" s="123">
        <f t="shared" si="4"/>
        <v>0</v>
      </c>
      <c r="AH107" s="122">
        <f t="shared" si="5"/>
        <v>0</v>
      </c>
    </row>
    <row r="108" spans="1:34" s="75" customFormat="1" ht="15.75">
      <c r="A108" s="125">
        <v>102</v>
      </c>
      <c r="B108" s="73"/>
      <c r="C108" s="127" t="s">
        <v>172</v>
      </c>
      <c r="D108" s="263"/>
      <c r="E108" s="263">
        <f t="shared" si="6"/>
        <v>0</v>
      </c>
      <c r="F108" s="263"/>
      <c r="G108" s="263"/>
      <c r="H108" s="263">
        <f>IFERROR(VLOOKUP(A108,Cargas!$B$3:$I$93,3,FALSE),0)</f>
        <v>0</v>
      </c>
      <c r="I108" s="263">
        <f>IFERROR(VLOOKUP(A108,Cargas!$B$3:$I$93,4,FALSE),0)</f>
        <v>0</v>
      </c>
      <c r="J108" s="263">
        <f>IFERROR(VLOOKUP(A108,Cargas!$B$3:$I$93,5,FALSE),0)</f>
        <v>0</v>
      </c>
      <c r="K108" s="263">
        <f>IFERROR(VLOOKUP(A108,Cargas!$B$3:$I$93,6,FALSE),0)</f>
        <v>0</v>
      </c>
      <c r="L108" s="263">
        <f>IFERROR(VLOOKUP(A108,Cargas!$B$3:$I$93,7,FALSE),0)</f>
        <v>0</v>
      </c>
      <c r="AB108" s="123">
        <f t="shared" si="4"/>
        <v>0</v>
      </c>
      <c r="AC108" s="123">
        <f t="shared" si="4"/>
        <v>0</v>
      </c>
      <c r="AD108" s="123">
        <f t="shared" si="4"/>
        <v>0</v>
      </c>
      <c r="AE108" s="123">
        <f t="shared" si="4"/>
        <v>0</v>
      </c>
      <c r="AF108" s="123">
        <f t="shared" si="4"/>
        <v>0</v>
      </c>
      <c r="AG108" s="123">
        <f t="shared" si="4"/>
        <v>0</v>
      </c>
      <c r="AH108" s="122">
        <f t="shared" si="5"/>
        <v>0</v>
      </c>
    </row>
    <row r="109" spans="1:34" s="75" customFormat="1" ht="15.75">
      <c r="A109" s="125">
        <v>103</v>
      </c>
      <c r="B109" s="73"/>
      <c r="C109" s="127" t="s">
        <v>46</v>
      </c>
      <c r="D109" s="271"/>
      <c r="E109" s="263">
        <f t="shared" si="6"/>
        <v>0</v>
      </c>
      <c r="F109" s="263"/>
      <c r="G109" s="263"/>
      <c r="H109" s="263">
        <f>IFERROR(VLOOKUP(A109,Cargas!$B$3:$I$93,3,FALSE),0)</f>
        <v>0</v>
      </c>
      <c r="I109" s="263">
        <f>IFERROR(VLOOKUP(A109,Cargas!$B$3:$I$93,4,FALSE),0)</f>
        <v>0</v>
      </c>
      <c r="J109" s="263">
        <f>IFERROR(VLOOKUP(A109,Cargas!$B$3:$I$93,5,FALSE),0)</f>
        <v>0</v>
      </c>
      <c r="K109" s="263">
        <f>IFERROR(VLOOKUP(A109,Cargas!$B$3:$I$93,6,FALSE),0)</f>
        <v>0</v>
      </c>
      <c r="L109" s="263">
        <f>IFERROR(VLOOKUP(A109,Cargas!$B$3:$I$93,7,FALSE),0)</f>
        <v>0</v>
      </c>
      <c r="AB109" s="123">
        <f t="shared" si="4"/>
        <v>0</v>
      </c>
      <c r="AC109" s="123">
        <f t="shared" si="4"/>
        <v>0</v>
      </c>
      <c r="AD109" s="123">
        <f t="shared" si="4"/>
        <v>0</v>
      </c>
      <c r="AE109" s="123">
        <f t="shared" si="4"/>
        <v>0</v>
      </c>
      <c r="AF109" s="123">
        <f t="shared" si="4"/>
        <v>0</v>
      </c>
      <c r="AG109" s="123">
        <f t="shared" si="4"/>
        <v>0</v>
      </c>
      <c r="AH109" s="122">
        <f t="shared" si="5"/>
        <v>0</v>
      </c>
    </row>
    <row r="110" spans="1:34" s="75" customFormat="1" ht="15.75">
      <c r="A110" s="125">
        <v>105</v>
      </c>
      <c r="B110" s="73"/>
      <c r="C110" s="127" t="s">
        <v>43</v>
      </c>
      <c r="D110" s="271"/>
      <c r="E110" s="263">
        <f t="shared" si="6"/>
        <v>0</v>
      </c>
      <c r="F110" s="263"/>
      <c r="G110" s="263"/>
      <c r="H110" s="263">
        <f>IFERROR(VLOOKUP(A110,Cargas!$B$3:$I$93,3,FALSE),0)</f>
        <v>0</v>
      </c>
      <c r="I110" s="263">
        <f>IFERROR(VLOOKUP(A110,Cargas!$B$3:$I$93,4,FALSE),0)</f>
        <v>0</v>
      </c>
      <c r="J110" s="263">
        <f>IFERROR(VLOOKUP(A110,Cargas!$B$3:$I$93,5,FALSE),0)</f>
        <v>0</v>
      </c>
      <c r="K110" s="263">
        <f>IFERROR(VLOOKUP(A110,Cargas!$B$3:$I$93,6,FALSE),0)</f>
        <v>0</v>
      </c>
      <c r="L110" s="263">
        <f>IFERROR(VLOOKUP(A110,Cargas!$B$3:$I$93,7,FALSE),0)</f>
        <v>0</v>
      </c>
      <c r="AB110" s="123">
        <f t="shared" si="4"/>
        <v>0</v>
      </c>
      <c r="AC110" s="123">
        <f t="shared" si="4"/>
        <v>0</v>
      </c>
      <c r="AD110" s="123">
        <f t="shared" si="4"/>
        <v>0</v>
      </c>
      <c r="AE110" s="123">
        <f t="shared" si="4"/>
        <v>0</v>
      </c>
      <c r="AF110" s="123">
        <f t="shared" si="4"/>
        <v>0</v>
      </c>
      <c r="AG110" s="123">
        <f t="shared" si="4"/>
        <v>0</v>
      </c>
      <c r="AH110" s="122">
        <f t="shared" si="5"/>
        <v>0</v>
      </c>
    </row>
    <row r="111" spans="1:34" s="74" customFormat="1" ht="15.75">
      <c r="A111" s="125">
        <v>107</v>
      </c>
      <c r="B111" s="73"/>
      <c r="C111" s="126" t="s">
        <v>173</v>
      </c>
      <c r="D111" s="263"/>
      <c r="E111" s="263">
        <f t="shared" si="6"/>
        <v>0</v>
      </c>
      <c r="F111" s="263"/>
      <c r="G111" s="263"/>
      <c r="H111" s="263">
        <f>IFERROR(VLOOKUP(A111,Cargas!$B$3:$I$93,3,FALSE),0)</f>
        <v>0</v>
      </c>
      <c r="I111" s="263">
        <f>IFERROR(VLOOKUP(A111,Cargas!$B$3:$I$93,4,FALSE),0)</f>
        <v>0</v>
      </c>
      <c r="J111" s="263">
        <f>IFERROR(VLOOKUP(A111,Cargas!$B$3:$I$93,5,FALSE),0)</f>
        <v>0</v>
      </c>
      <c r="K111" s="263">
        <f>IFERROR(VLOOKUP(A111,Cargas!$B$3:$I$93,6,FALSE),0)</f>
        <v>0</v>
      </c>
      <c r="L111" s="263">
        <f>IFERROR(VLOOKUP(A111,Cargas!$B$3:$I$93,7,FALSE),0)</f>
        <v>0</v>
      </c>
      <c r="AB111" s="123">
        <f t="shared" si="4"/>
        <v>0</v>
      </c>
      <c r="AC111" s="123">
        <f t="shared" si="4"/>
        <v>0</v>
      </c>
      <c r="AD111" s="123">
        <f t="shared" si="4"/>
        <v>0</v>
      </c>
      <c r="AE111" s="123">
        <f t="shared" si="4"/>
        <v>0</v>
      </c>
      <c r="AF111" s="123">
        <f t="shared" si="4"/>
        <v>0</v>
      </c>
      <c r="AG111" s="123">
        <f t="shared" si="4"/>
        <v>0</v>
      </c>
      <c r="AH111" s="122">
        <f t="shared" si="5"/>
        <v>0</v>
      </c>
    </row>
    <row r="112" spans="1:34" s="75" customFormat="1" ht="15.75">
      <c r="A112" s="125">
        <v>108</v>
      </c>
      <c r="B112" s="73"/>
      <c r="C112" s="126" t="s">
        <v>56</v>
      </c>
      <c r="D112" s="263"/>
      <c r="E112" s="263">
        <f t="shared" si="6"/>
        <v>0</v>
      </c>
      <c r="F112" s="263"/>
      <c r="G112" s="263"/>
      <c r="H112" s="263">
        <f>IFERROR(VLOOKUP(A112,Cargas!$B$3:$I$93,3,FALSE),0)</f>
        <v>0</v>
      </c>
      <c r="I112" s="263">
        <f>IFERROR(VLOOKUP(A112,Cargas!$B$3:$I$93,4,FALSE),0)</f>
        <v>0</v>
      </c>
      <c r="J112" s="263">
        <f>IFERROR(VLOOKUP(A112,Cargas!$B$3:$I$93,5,FALSE),0)</f>
        <v>0</v>
      </c>
      <c r="K112" s="263">
        <f>IFERROR(VLOOKUP(A112,Cargas!$B$3:$I$93,6,FALSE),0)</f>
        <v>0</v>
      </c>
      <c r="L112" s="263">
        <f>IFERROR(VLOOKUP(A112,Cargas!$B$3:$I$93,7,FALSE),0)</f>
        <v>0</v>
      </c>
      <c r="AB112" s="123">
        <f t="shared" si="4"/>
        <v>0</v>
      </c>
      <c r="AC112" s="123">
        <f t="shared" si="4"/>
        <v>0</v>
      </c>
      <c r="AD112" s="123">
        <f t="shared" si="4"/>
        <v>0</v>
      </c>
      <c r="AE112" s="123">
        <f t="shared" si="4"/>
        <v>0</v>
      </c>
      <c r="AF112" s="123">
        <f t="shared" si="4"/>
        <v>0</v>
      </c>
      <c r="AG112" s="123">
        <f t="shared" si="4"/>
        <v>0</v>
      </c>
      <c r="AH112" s="122">
        <f t="shared" si="5"/>
        <v>0</v>
      </c>
    </row>
    <row r="113" spans="1:34" s="74" customFormat="1" ht="15.75">
      <c r="A113" s="125">
        <v>109</v>
      </c>
      <c r="B113" s="73"/>
      <c r="C113" s="126" t="s">
        <v>57</v>
      </c>
      <c r="D113" s="263"/>
      <c r="E113" s="263">
        <f t="shared" si="6"/>
        <v>0</v>
      </c>
      <c r="F113" s="263"/>
      <c r="G113" s="263"/>
      <c r="H113" s="263">
        <f>IFERROR(VLOOKUP(A113,Cargas!$B$3:$I$93,3,FALSE),0)</f>
        <v>0</v>
      </c>
      <c r="I113" s="263">
        <f>IFERROR(VLOOKUP(A113,Cargas!$B$3:$I$93,4,FALSE),0)</f>
        <v>0</v>
      </c>
      <c r="J113" s="263">
        <f>IFERROR(VLOOKUP(A113,Cargas!$B$3:$I$93,5,FALSE),0)</f>
        <v>0</v>
      </c>
      <c r="K113" s="263">
        <f>IFERROR(VLOOKUP(A113,Cargas!$B$3:$I$93,6,FALSE),0)</f>
        <v>0</v>
      </c>
      <c r="L113" s="263">
        <f>IFERROR(VLOOKUP(A113,Cargas!$B$3:$I$93,7,FALSE),0)</f>
        <v>0</v>
      </c>
      <c r="AB113" s="123">
        <f t="shared" si="4"/>
        <v>0</v>
      </c>
      <c r="AC113" s="123">
        <f t="shared" si="4"/>
        <v>0</v>
      </c>
      <c r="AD113" s="123">
        <f t="shared" si="4"/>
        <v>0</v>
      </c>
      <c r="AE113" s="123">
        <f t="shared" ref="AE113:AG176" si="7">+J113/J$9</f>
        <v>0</v>
      </c>
      <c r="AF113" s="123">
        <f t="shared" si="7"/>
        <v>0</v>
      </c>
      <c r="AG113" s="123">
        <f t="shared" si="7"/>
        <v>0</v>
      </c>
      <c r="AH113" s="122">
        <f t="shared" si="5"/>
        <v>0</v>
      </c>
    </row>
    <row r="114" spans="1:34" s="75" customFormat="1" ht="15.75">
      <c r="A114" s="125">
        <v>110</v>
      </c>
      <c r="B114" s="73"/>
      <c r="C114" s="126" t="s">
        <v>58</v>
      </c>
      <c r="D114" s="263"/>
      <c r="E114" s="263">
        <f t="shared" si="6"/>
        <v>0</v>
      </c>
      <c r="F114" s="263"/>
      <c r="G114" s="263"/>
      <c r="H114" s="263">
        <f>IFERROR(VLOOKUP(A114,Cargas!$B$3:$I$93,3,FALSE),0)</f>
        <v>0</v>
      </c>
      <c r="I114" s="263">
        <f>IFERROR(VLOOKUP(A114,Cargas!$B$3:$I$93,4,FALSE),0)</f>
        <v>0</v>
      </c>
      <c r="J114" s="263">
        <f>IFERROR(VLOOKUP(A114,Cargas!$B$3:$I$93,5,FALSE),0)</f>
        <v>0</v>
      </c>
      <c r="K114" s="263">
        <f>IFERROR(VLOOKUP(A114,Cargas!$B$3:$I$93,6,FALSE),0)</f>
        <v>0</v>
      </c>
      <c r="L114" s="263">
        <f>IFERROR(VLOOKUP(A114,Cargas!$B$3:$I$93,7,FALSE),0)</f>
        <v>0</v>
      </c>
      <c r="AB114" s="123">
        <f t="shared" ref="AB114:AG177" si="8">+G114/G$9</f>
        <v>0</v>
      </c>
      <c r="AC114" s="123">
        <f t="shared" si="8"/>
        <v>0</v>
      </c>
      <c r="AD114" s="123">
        <f t="shared" si="8"/>
        <v>0</v>
      </c>
      <c r="AE114" s="123">
        <f t="shared" si="7"/>
        <v>0</v>
      </c>
      <c r="AF114" s="123">
        <f t="shared" si="7"/>
        <v>0</v>
      </c>
      <c r="AG114" s="123">
        <f t="shared" si="7"/>
        <v>0</v>
      </c>
      <c r="AH114" s="122">
        <f t="shared" si="5"/>
        <v>0</v>
      </c>
    </row>
    <row r="115" spans="1:34" s="75" customFormat="1" ht="15.75">
      <c r="A115" s="125">
        <v>111</v>
      </c>
      <c r="B115" s="73"/>
      <c r="C115" s="127" t="s">
        <v>174</v>
      </c>
      <c r="D115" s="271"/>
      <c r="E115" s="263">
        <f t="shared" si="6"/>
        <v>0</v>
      </c>
      <c r="F115" s="263"/>
      <c r="G115" s="263"/>
      <c r="H115" s="263">
        <f>IFERROR(VLOOKUP(A115,Cargas!$B$3:$I$93,3,FALSE),0)</f>
        <v>0</v>
      </c>
      <c r="I115" s="263">
        <f>IFERROR(VLOOKUP(A115,Cargas!$B$3:$I$93,4,FALSE),0)</f>
        <v>0</v>
      </c>
      <c r="J115" s="263">
        <f>IFERROR(VLOOKUP(A115,Cargas!$B$3:$I$93,5,FALSE),0)</f>
        <v>0</v>
      </c>
      <c r="K115" s="263">
        <f>IFERROR(VLOOKUP(A115,Cargas!$B$3:$I$93,6,FALSE),0)</f>
        <v>0</v>
      </c>
      <c r="L115" s="263">
        <f>IFERROR(VLOOKUP(A115,Cargas!$B$3:$I$93,7,FALSE),0)</f>
        <v>0</v>
      </c>
      <c r="AB115" s="123">
        <f t="shared" si="8"/>
        <v>0</v>
      </c>
      <c r="AC115" s="123">
        <f t="shared" si="8"/>
        <v>0</v>
      </c>
      <c r="AD115" s="123">
        <f t="shared" si="8"/>
        <v>0</v>
      </c>
      <c r="AE115" s="123">
        <f t="shared" si="7"/>
        <v>0</v>
      </c>
      <c r="AF115" s="123">
        <f t="shared" si="7"/>
        <v>0</v>
      </c>
      <c r="AG115" s="123">
        <f t="shared" si="7"/>
        <v>0</v>
      </c>
      <c r="AH115" s="122">
        <f t="shared" si="5"/>
        <v>0</v>
      </c>
    </row>
    <row r="116" spans="1:34" s="75" customFormat="1" ht="15.75">
      <c r="A116" s="125">
        <v>112</v>
      </c>
      <c r="B116" s="73"/>
      <c r="C116" s="126" t="s">
        <v>59</v>
      </c>
      <c r="D116" s="263"/>
      <c r="E116" s="263">
        <f t="shared" si="6"/>
        <v>0</v>
      </c>
      <c r="F116" s="263"/>
      <c r="G116" s="263"/>
      <c r="H116" s="263">
        <f>IFERROR(VLOOKUP(A116,Cargas!$B$3:$I$93,3,FALSE),0)</f>
        <v>0</v>
      </c>
      <c r="I116" s="263">
        <f>IFERROR(VLOOKUP(A116,Cargas!$B$3:$I$93,4,FALSE),0)</f>
        <v>0</v>
      </c>
      <c r="J116" s="263">
        <f>IFERROR(VLOOKUP(A116,Cargas!$B$3:$I$93,5,FALSE),0)</f>
        <v>0</v>
      </c>
      <c r="K116" s="263">
        <f>IFERROR(VLOOKUP(A116,Cargas!$B$3:$I$93,6,FALSE),0)</f>
        <v>0</v>
      </c>
      <c r="L116" s="263">
        <f>IFERROR(VLOOKUP(A116,Cargas!$B$3:$I$93,7,FALSE),0)</f>
        <v>0</v>
      </c>
      <c r="AB116" s="123">
        <f t="shared" si="8"/>
        <v>0</v>
      </c>
      <c r="AC116" s="123">
        <f t="shared" si="8"/>
        <v>0</v>
      </c>
      <c r="AD116" s="123">
        <f t="shared" si="8"/>
        <v>0</v>
      </c>
      <c r="AE116" s="123">
        <f t="shared" si="7"/>
        <v>0</v>
      </c>
      <c r="AF116" s="123">
        <f t="shared" si="7"/>
        <v>0</v>
      </c>
      <c r="AG116" s="123">
        <f t="shared" si="7"/>
        <v>0</v>
      </c>
      <c r="AH116" s="122">
        <f t="shared" si="5"/>
        <v>0</v>
      </c>
    </row>
    <row r="117" spans="1:34" s="75" customFormat="1" ht="15.75">
      <c r="A117" s="125">
        <v>113</v>
      </c>
      <c r="B117" s="73"/>
      <c r="C117" s="126" t="s">
        <v>248</v>
      </c>
      <c r="D117" s="263"/>
      <c r="E117" s="263">
        <f t="shared" si="6"/>
        <v>0</v>
      </c>
      <c r="F117" s="263"/>
      <c r="G117" s="263"/>
      <c r="H117" s="263">
        <f>IFERROR(VLOOKUP(A117,Cargas!$B$3:$I$93,3,FALSE),0)</f>
        <v>0</v>
      </c>
      <c r="I117" s="263">
        <f>IFERROR(VLOOKUP(A117,Cargas!$B$3:$I$93,4,FALSE),0)</f>
        <v>0</v>
      </c>
      <c r="J117" s="263">
        <f>IFERROR(VLOOKUP(A117,Cargas!$B$3:$I$93,5,FALSE),0)</f>
        <v>0</v>
      </c>
      <c r="K117" s="263">
        <f>IFERROR(VLOOKUP(A117,Cargas!$B$3:$I$93,6,FALSE),0)</f>
        <v>0</v>
      </c>
      <c r="L117" s="263">
        <f>IFERROR(VLOOKUP(A117,Cargas!$B$3:$I$93,7,FALSE),0)</f>
        <v>0</v>
      </c>
      <c r="AB117" s="123">
        <f t="shared" si="8"/>
        <v>0</v>
      </c>
      <c r="AC117" s="123">
        <f t="shared" si="8"/>
        <v>0</v>
      </c>
      <c r="AD117" s="123">
        <f t="shared" si="8"/>
        <v>0</v>
      </c>
      <c r="AE117" s="123">
        <f t="shared" si="7"/>
        <v>0</v>
      </c>
      <c r="AF117" s="123">
        <f t="shared" si="7"/>
        <v>0</v>
      </c>
      <c r="AG117" s="123">
        <f t="shared" si="7"/>
        <v>0</v>
      </c>
      <c r="AH117" s="122">
        <f t="shared" si="5"/>
        <v>0</v>
      </c>
    </row>
    <row r="118" spans="1:34" s="75" customFormat="1" ht="15.75">
      <c r="A118" s="125">
        <v>114</v>
      </c>
      <c r="B118" s="73"/>
      <c r="C118" s="126" t="s">
        <v>249</v>
      </c>
      <c r="D118" s="263"/>
      <c r="E118" s="263">
        <f t="shared" si="6"/>
        <v>0</v>
      </c>
      <c r="F118" s="263"/>
      <c r="G118" s="263"/>
      <c r="H118" s="263">
        <f>IFERROR(VLOOKUP(A118,Cargas!$B$3:$I$93,3,FALSE),0)</f>
        <v>0</v>
      </c>
      <c r="I118" s="263">
        <f>IFERROR(VLOOKUP(A118,Cargas!$B$3:$I$93,4,FALSE),0)</f>
        <v>0</v>
      </c>
      <c r="J118" s="263">
        <f>IFERROR(VLOOKUP(A118,Cargas!$B$3:$I$93,5,FALSE),0)</f>
        <v>0</v>
      </c>
      <c r="K118" s="263">
        <f>IFERROR(VLOOKUP(A118,Cargas!$B$3:$I$93,6,FALSE),0)</f>
        <v>0</v>
      </c>
      <c r="L118" s="263">
        <f>IFERROR(VLOOKUP(A118,Cargas!$B$3:$I$93,7,FALSE),0)</f>
        <v>0</v>
      </c>
      <c r="AB118" s="123">
        <f t="shared" si="8"/>
        <v>0</v>
      </c>
      <c r="AC118" s="123">
        <f t="shared" si="8"/>
        <v>0</v>
      </c>
      <c r="AD118" s="123">
        <f t="shared" si="8"/>
        <v>0</v>
      </c>
      <c r="AE118" s="123">
        <f t="shared" si="7"/>
        <v>0</v>
      </c>
      <c r="AF118" s="123">
        <f t="shared" si="7"/>
        <v>0</v>
      </c>
      <c r="AG118" s="123">
        <f t="shared" si="7"/>
        <v>0</v>
      </c>
      <c r="AH118" s="122">
        <f t="shared" si="5"/>
        <v>0</v>
      </c>
    </row>
    <row r="119" spans="1:34" s="74" customFormat="1" ht="15.75">
      <c r="A119" s="125">
        <v>115</v>
      </c>
      <c r="B119" s="73"/>
      <c r="C119" s="127" t="s">
        <v>62</v>
      </c>
      <c r="D119" s="263"/>
      <c r="E119" s="263">
        <f t="shared" si="6"/>
        <v>0</v>
      </c>
      <c r="F119" s="263"/>
      <c r="G119" s="263"/>
      <c r="H119" s="263">
        <f>IFERROR(VLOOKUP(A119,Cargas!$B$3:$I$93,3,FALSE),0)</f>
        <v>0</v>
      </c>
      <c r="I119" s="263">
        <f>IFERROR(VLOOKUP(A119,Cargas!$B$3:$I$93,4,FALSE),0)</f>
        <v>0</v>
      </c>
      <c r="J119" s="263">
        <f>IFERROR(VLOOKUP(A119,Cargas!$B$3:$I$93,5,FALSE),0)</f>
        <v>0</v>
      </c>
      <c r="K119" s="263">
        <f>IFERROR(VLOOKUP(A119,Cargas!$B$3:$I$93,6,FALSE),0)</f>
        <v>0</v>
      </c>
      <c r="L119" s="263">
        <f>IFERROR(VLOOKUP(A119,Cargas!$B$3:$I$93,7,FALSE),0)</f>
        <v>0</v>
      </c>
      <c r="AB119" s="123">
        <f t="shared" si="8"/>
        <v>0</v>
      </c>
      <c r="AC119" s="123">
        <f t="shared" si="8"/>
        <v>0</v>
      </c>
      <c r="AD119" s="123">
        <f t="shared" si="8"/>
        <v>0</v>
      </c>
      <c r="AE119" s="123">
        <f t="shared" si="7"/>
        <v>0</v>
      </c>
      <c r="AF119" s="123">
        <f t="shared" si="7"/>
        <v>0</v>
      </c>
      <c r="AG119" s="123">
        <f t="shared" si="7"/>
        <v>0</v>
      </c>
      <c r="AH119" s="122">
        <f t="shared" si="5"/>
        <v>0</v>
      </c>
    </row>
    <row r="120" spans="1:34" s="75" customFormat="1" ht="15.75">
      <c r="A120" s="125">
        <v>116</v>
      </c>
      <c r="B120" s="73"/>
      <c r="C120" s="127" t="s">
        <v>63</v>
      </c>
      <c r="D120" s="263"/>
      <c r="E120" s="263">
        <f t="shared" si="6"/>
        <v>0</v>
      </c>
      <c r="F120" s="263"/>
      <c r="G120" s="263"/>
      <c r="H120" s="263">
        <f>IFERROR(VLOOKUP(A120,Cargas!$B$3:$I$93,3,FALSE),0)</f>
        <v>0</v>
      </c>
      <c r="I120" s="263">
        <f>IFERROR(VLOOKUP(A120,Cargas!$B$3:$I$93,4,FALSE),0)</f>
        <v>0</v>
      </c>
      <c r="J120" s="263">
        <f>IFERROR(VLOOKUP(A120,Cargas!$B$3:$I$93,5,FALSE),0)</f>
        <v>0</v>
      </c>
      <c r="K120" s="263">
        <f>IFERROR(VLOOKUP(A120,Cargas!$B$3:$I$93,6,FALSE),0)</f>
        <v>0</v>
      </c>
      <c r="L120" s="263">
        <f>IFERROR(VLOOKUP(A120,Cargas!$B$3:$I$93,7,FALSE),0)</f>
        <v>0</v>
      </c>
      <c r="AB120" s="123">
        <f t="shared" si="8"/>
        <v>0</v>
      </c>
      <c r="AC120" s="123">
        <f t="shared" si="8"/>
        <v>0</v>
      </c>
      <c r="AD120" s="123">
        <f t="shared" si="8"/>
        <v>0</v>
      </c>
      <c r="AE120" s="123">
        <f t="shared" si="7"/>
        <v>0</v>
      </c>
      <c r="AF120" s="123">
        <f t="shared" si="7"/>
        <v>0</v>
      </c>
      <c r="AG120" s="123">
        <f t="shared" si="7"/>
        <v>0</v>
      </c>
      <c r="AH120" s="122">
        <f t="shared" si="5"/>
        <v>0</v>
      </c>
    </row>
    <row r="121" spans="1:34" s="75" customFormat="1" ht="15.75">
      <c r="A121" s="125">
        <v>117</v>
      </c>
      <c r="B121" s="73"/>
      <c r="C121" s="127" t="s">
        <v>64</v>
      </c>
      <c r="D121" s="271"/>
      <c r="E121" s="263">
        <f t="shared" si="6"/>
        <v>0</v>
      </c>
      <c r="F121" s="263"/>
      <c r="G121" s="263"/>
      <c r="H121" s="263">
        <f>IFERROR(VLOOKUP(A121,Cargas!$B$3:$I$93,3,FALSE),0)</f>
        <v>0</v>
      </c>
      <c r="I121" s="263">
        <f>IFERROR(VLOOKUP(A121,Cargas!$B$3:$I$93,4,FALSE),0)</f>
        <v>0</v>
      </c>
      <c r="J121" s="263">
        <f>IFERROR(VLOOKUP(A121,Cargas!$B$3:$I$93,5,FALSE),0)</f>
        <v>0</v>
      </c>
      <c r="K121" s="263">
        <f>IFERROR(VLOOKUP(A121,Cargas!$B$3:$I$93,6,FALSE),0)</f>
        <v>0</v>
      </c>
      <c r="L121" s="263">
        <f>IFERROR(VLOOKUP(A121,Cargas!$B$3:$I$93,7,FALSE),0)</f>
        <v>0</v>
      </c>
      <c r="AB121" s="123">
        <f t="shared" si="8"/>
        <v>0</v>
      </c>
      <c r="AC121" s="123">
        <f t="shared" si="8"/>
        <v>0</v>
      </c>
      <c r="AD121" s="123">
        <f t="shared" si="8"/>
        <v>0</v>
      </c>
      <c r="AE121" s="123">
        <f t="shared" si="7"/>
        <v>0</v>
      </c>
      <c r="AF121" s="123">
        <f t="shared" si="7"/>
        <v>0</v>
      </c>
      <c r="AG121" s="123">
        <f t="shared" si="7"/>
        <v>0</v>
      </c>
      <c r="AH121" s="122">
        <f t="shared" si="5"/>
        <v>0</v>
      </c>
    </row>
    <row r="122" spans="1:34" s="75" customFormat="1" ht="15.75">
      <c r="A122" s="125">
        <v>118</v>
      </c>
      <c r="B122" s="73"/>
      <c r="C122" s="126" t="s">
        <v>250</v>
      </c>
      <c r="D122" s="263"/>
      <c r="E122" s="263">
        <f t="shared" si="6"/>
        <v>0</v>
      </c>
      <c r="F122" s="263"/>
      <c r="G122" s="263"/>
      <c r="H122" s="263">
        <f>IFERROR(VLOOKUP(A122,Cargas!$B$3:$I$93,3,FALSE),0)</f>
        <v>0</v>
      </c>
      <c r="I122" s="263">
        <f>IFERROR(VLOOKUP(A122,Cargas!$B$3:$I$93,4,FALSE),0)</f>
        <v>0</v>
      </c>
      <c r="J122" s="263">
        <f>IFERROR(VLOOKUP(A122,Cargas!$B$3:$I$93,5,FALSE),0)</f>
        <v>0</v>
      </c>
      <c r="K122" s="263">
        <f>IFERROR(VLOOKUP(A122,Cargas!$B$3:$I$93,6,FALSE),0)</f>
        <v>0</v>
      </c>
      <c r="L122" s="263">
        <f>IFERROR(VLOOKUP(A122,Cargas!$B$3:$I$93,7,FALSE),0)</f>
        <v>0</v>
      </c>
      <c r="AB122" s="123">
        <f t="shared" si="8"/>
        <v>0</v>
      </c>
      <c r="AC122" s="123">
        <f t="shared" si="8"/>
        <v>0</v>
      </c>
      <c r="AD122" s="123">
        <f t="shared" si="8"/>
        <v>0</v>
      </c>
      <c r="AE122" s="123">
        <f t="shared" si="7"/>
        <v>0</v>
      </c>
      <c r="AF122" s="123">
        <f t="shared" si="7"/>
        <v>0</v>
      </c>
      <c r="AG122" s="123">
        <f t="shared" si="7"/>
        <v>0</v>
      </c>
      <c r="AH122" s="122">
        <f t="shared" si="5"/>
        <v>0</v>
      </c>
    </row>
    <row r="123" spans="1:34" s="75" customFormat="1" ht="15.75">
      <c r="A123" s="125">
        <v>119</v>
      </c>
      <c r="B123" s="73"/>
      <c r="C123" s="126" t="s">
        <v>70</v>
      </c>
      <c r="D123" s="263"/>
      <c r="E123" s="263">
        <f t="shared" si="6"/>
        <v>0</v>
      </c>
      <c r="F123" s="263"/>
      <c r="G123" s="263"/>
      <c r="H123" s="263">
        <f>IFERROR(VLOOKUP(A123,Cargas!$B$3:$I$93,3,FALSE),0)</f>
        <v>0</v>
      </c>
      <c r="I123" s="263">
        <f>IFERROR(VLOOKUP(A123,Cargas!$B$3:$I$93,4,FALSE),0)</f>
        <v>0</v>
      </c>
      <c r="J123" s="263">
        <f>IFERROR(VLOOKUP(A123,Cargas!$B$3:$I$93,5,FALSE),0)</f>
        <v>0</v>
      </c>
      <c r="K123" s="263">
        <f>IFERROR(VLOOKUP(A123,Cargas!$B$3:$I$93,6,FALSE),0)</f>
        <v>0</v>
      </c>
      <c r="L123" s="263">
        <f>IFERROR(VLOOKUP(A123,Cargas!$B$3:$I$93,7,FALSE),0)</f>
        <v>0</v>
      </c>
      <c r="AB123" s="123">
        <f t="shared" si="8"/>
        <v>0</v>
      </c>
      <c r="AC123" s="123">
        <f t="shared" si="8"/>
        <v>0</v>
      </c>
      <c r="AD123" s="123">
        <f t="shared" si="8"/>
        <v>0</v>
      </c>
      <c r="AE123" s="123">
        <f t="shared" si="7"/>
        <v>0</v>
      </c>
      <c r="AF123" s="123">
        <f t="shared" si="7"/>
        <v>0</v>
      </c>
      <c r="AG123" s="123">
        <f t="shared" si="7"/>
        <v>0</v>
      </c>
      <c r="AH123" s="122">
        <f t="shared" si="5"/>
        <v>0</v>
      </c>
    </row>
    <row r="124" spans="1:34" s="74" customFormat="1" ht="15.75">
      <c r="A124" s="125">
        <v>120</v>
      </c>
      <c r="B124" s="73"/>
      <c r="C124" s="126" t="s">
        <v>175</v>
      </c>
      <c r="D124" s="263"/>
      <c r="E124" s="263">
        <f t="shared" si="6"/>
        <v>0</v>
      </c>
      <c r="F124" s="263"/>
      <c r="G124" s="263"/>
      <c r="H124" s="263">
        <f>IFERROR(VLOOKUP(A124,Cargas!$B$3:$I$93,3,FALSE),0)</f>
        <v>0</v>
      </c>
      <c r="I124" s="263">
        <f>IFERROR(VLOOKUP(A124,Cargas!$B$3:$I$93,4,FALSE),0)</f>
        <v>0</v>
      </c>
      <c r="J124" s="263">
        <f>IFERROR(VLOOKUP(A124,Cargas!$B$3:$I$93,5,FALSE),0)</f>
        <v>0</v>
      </c>
      <c r="K124" s="263">
        <f>IFERROR(VLOOKUP(A124,Cargas!$B$3:$I$93,6,FALSE),0)</f>
        <v>0</v>
      </c>
      <c r="L124" s="263">
        <f>IFERROR(VLOOKUP(A124,Cargas!$B$3:$I$93,7,FALSE),0)</f>
        <v>0</v>
      </c>
      <c r="AB124" s="123">
        <f t="shared" si="8"/>
        <v>0</v>
      </c>
      <c r="AC124" s="123">
        <f t="shared" si="8"/>
        <v>0</v>
      </c>
      <c r="AD124" s="123">
        <f t="shared" si="8"/>
        <v>0</v>
      </c>
      <c r="AE124" s="123">
        <f t="shared" si="7"/>
        <v>0</v>
      </c>
      <c r="AF124" s="123">
        <f t="shared" si="7"/>
        <v>0</v>
      </c>
      <c r="AG124" s="123">
        <f t="shared" si="7"/>
        <v>0</v>
      </c>
      <c r="AH124" s="122">
        <f t="shared" si="5"/>
        <v>0</v>
      </c>
    </row>
    <row r="125" spans="1:34" s="75" customFormat="1" ht="15.75">
      <c r="A125" s="125">
        <v>121</v>
      </c>
      <c r="B125" s="73"/>
      <c r="C125" s="126" t="s">
        <v>176</v>
      </c>
      <c r="D125" s="263"/>
      <c r="E125" s="263">
        <f t="shared" si="6"/>
        <v>0</v>
      </c>
      <c r="F125" s="263"/>
      <c r="G125" s="263"/>
      <c r="H125" s="263">
        <f>IFERROR(VLOOKUP(A125,Cargas!$B$3:$I$93,3,FALSE),0)</f>
        <v>0</v>
      </c>
      <c r="I125" s="263">
        <f>IFERROR(VLOOKUP(A125,Cargas!$B$3:$I$93,4,FALSE),0)</f>
        <v>0</v>
      </c>
      <c r="J125" s="263">
        <f>IFERROR(VLOOKUP(A125,Cargas!$B$3:$I$93,5,FALSE),0)</f>
        <v>0</v>
      </c>
      <c r="K125" s="263">
        <f>IFERROR(VLOOKUP(A125,Cargas!$B$3:$I$93,6,FALSE),0)</f>
        <v>0</v>
      </c>
      <c r="L125" s="263">
        <f>IFERROR(VLOOKUP(A125,Cargas!$B$3:$I$93,7,FALSE),0)</f>
        <v>0</v>
      </c>
      <c r="AB125" s="123">
        <f t="shared" si="8"/>
        <v>0</v>
      </c>
      <c r="AC125" s="123">
        <f t="shared" si="8"/>
        <v>0</v>
      </c>
      <c r="AD125" s="123">
        <f t="shared" si="8"/>
        <v>0</v>
      </c>
      <c r="AE125" s="123">
        <f t="shared" si="7"/>
        <v>0</v>
      </c>
      <c r="AF125" s="123">
        <f t="shared" si="7"/>
        <v>0</v>
      </c>
      <c r="AG125" s="123">
        <f t="shared" si="7"/>
        <v>0</v>
      </c>
      <c r="AH125" s="122">
        <f t="shared" si="5"/>
        <v>0</v>
      </c>
    </row>
    <row r="126" spans="1:34" s="75" customFormat="1" ht="15.75">
      <c r="A126" s="125">
        <v>122</v>
      </c>
      <c r="B126" s="73"/>
      <c r="C126" s="127" t="s">
        <v>71</v>
      </c>
      <c r="D126" s="263"/>
      <c r="E126" s="263">
        <f t="shared" si="6"/>
        <v>0</v>
      </c>
      <c r="F126" s="263"/>
      <c r="G126" s="263"/>
      <c r="H126" s="263">
        <f>IFERROR(VLOOKUP(A126,Cargas!$B$3:$I$93,3,FALSE),0)</f>
        <v>0</v>
      </c>
      <c r="I126" s="263">
        <f>IFERROR(VLOOKUP(A126,Cargas!$B$3:$I$93,4,FALSE),0)</f>
        <v>0</v>
      </c>
      <c r="J126" s="263">
        <f>IFERROR(VLOOKUP(A126,Cargas!$B$3:$I$93,5,FALSE),0)</f>
        <v>0</v>
      </c>
      <c r="K126" s="263">
        <f>IFERROR(VLOOKUP(A126,Cargas!$B$3:$I$93,6,FALSE),0)</f>
        <v>0</v>
      </c>
      <c r="L126" s="263">
        <f>IFERROR(VLOOKUP(A126,Cargas!$B$3:$I$93,7,FALSE),0)</f>
        <v>0</v>
      </c>
      <c r="AB126" s="123">
        <f t="shared" si="8"/>
        <v>0</v>
      </c>
      <c r="AC126" s="123">
        <f t="shared" si="8"/>
        <v>0</v>
      </c>
      <c r="AD126" s="123">
        <f t="shared" si="8"/>
        <v>0</v>
      </c>
      <c r="AE126" s="123">
        <f t="shared" si="7"/>
        <v>0</v>
      </c>
      <c r="AF126" s="123">
        <f t="shared" si="7"/>
        <v>0</v>
      </c>
      <c r="AG126" s="123">
        <f t="shared" si="7"/>
        <v>0</v>
      </c>
      <c r="AH126" s="122">
        <f t="shared" si="5"/>
        <v>0</v>
      </c>
    </row>
    <row r="127" spans="1:34" s="75" customFormat="1" ht="15.75">
      <c r="A127" s="125">
        <v>124</v>
      </c>
      <c r="B127" s="73"/>
      <c r="C127" s="126" t="s">
        <v>87</v>
      </c>
      <c r="D127" s="263"/>
      <c r="E127" s="263">
        <f t="shared" si="6"/>
        <v>0</v>
      </c>
      <c r="F127" s="263"/>
      <c r="G127" s="263"/>
      <c r="H127" s="263">
        <f>IFERROR(VLOOKUP(A127,Cargas!$B$3:$I$93,3,FALSE),0)</f>
        <v>0</v>
      </c>
      <c r="I127" s="263">
        <f>IFERROR(VLOOKUP(A127,Cargas!$B$3:$I$93,4,FALSE),0)</f>
        <v>0</v>
      </c>
      <c r="J127" s="263">
        <f>IFERROR(VLOOKUP(A127,Cargas!$B$3:$I$93,5,FALSE),0)</f>
        <v>0</v>
      </c>
      <c r="K127" s="263">
        <f>IFERROR(VLOOKUP(A127,Cargas!$B$3:$I$93,6,FALSE),0)</f>
        <v>0</v>
      </c>
      <c r="L127" s="263">
        <f>IFERROR(VLOOKUP(A127,Cargas!$B$3:$I$93,7,FALSE),0)</f>
        <v>0</v>
      </c>
      <c r="AB127" s="123">
        <f t="shared" si="8"/>
        <v>0</v>
      </c>
      <c r="AC127" s="123">
        <f t="shared" si="8"/>
        <v>0</v>
      </c>
      <c r="AD127" s="123">
        <f t="shared" si="8"/>
        <v>0</v>
      </c>
      <c r="AE127" s="123">
        <f t="shared" si="7"/>
        <v>0</v>
      </c>
      <c r="AF127" s="123">
        <f t="shared" si="7"/>
        <v>0</v>
      </c>
      <c r="AG127" s="123">
        <f t="shared" si="7"/>
        <v>0</v>
      </c>
      <c r="AH127" s="122">
        <f t="shared" si="5"/>
        <v>0</v>
      </c>
    </row>
    <row r="128" spans="1:34" s="74" customFormat="1" ht="15.75">
      <c r="A128" s="125">
        <v>125</v>
      </c>
      <c r="B128" s="73"/>
      <c r="C128" s="126" t="s">
        <v>177</v>
      </c>
      <c r="D128" s="272"/>
      <c r="E128" s="263">
        <f t="shared" si="6"/>
        <v>0</v>
      </c>
      <c r="F128" s="263"/>
      <c r="G128" s="263"/>
      <c r="H128" s="263">
        <f>IFERROR(VLOOKUP(A128,Cargas!$B$3:$I$93,3,FALSE),0)</f>
        <v>0</v>
      </c>
      <c r="I128" s="263">
        <f>IFERROR(VLOOKUP(A128,Cargas!$B$3:$I$93,4,FALSE),0)</f>
        <v>0</v>
      </c>
      <c r="J128" s="263">
        <f>IFERROR(VLOOKUP(A128,Cargas!$B$3:$I$93,5,FALSE),0)</f>
        <v>0</v>
      </c>
      <c r="K128" s="263">
        <f>IFERROR(VLOOKUP(A128,Cargas!$B$3:$I$93,6,FALSE),0)</f>
        <v>0</v>
      </c>
      <c r="L128" s="263">
        <f>IFERROR(VLOOKUP(A128,Cargas!$B$3:$I$93,7,FALSE),0)</f>
        <v>0</v>
      </c>
      <c r="AB128" s="123">
        <f t="shared" si="8"/>
        <v>0</v>
      </c>
      <c r="AC128" s="123">
        <f t="shared" si="8"/>
        <v>0</v>
      </c>
      <c r="AD128" s="123">
        <f t="shared" si="8"/>
        <v>0</v>
      </c>
      <c r="AE128" s="123">
        <f t="shared" si="7"/>
        <v>0</v>
      </c>
      <c r="AF128" s="123">
        <f t="shared" si="7"/>
        <v>0</v>
      </c>
      <c r="AG128" s="123">
        <f t="shared" si="7"/>
        <v>0</v>
      </c>
      <c r="AH128" s="122">
        <f t="shared" si="5"/>
        <v>0</v>
      </c>
    </row>
    <row r="129" spans="1:34" s="75" customFormat="1" ht="15.75">
      <c r="A129" s="125">
        <v>126</v>
      </c>
      <c r="B129" s="73"/>
      <c r="C129" s="126" t="s">
        <v>73</v>
      </c>
      <c r="D129" s="272"/>
      <c r="E129" s="263">
        <f t="shared" si="6"/>
        <v>0</v>
      </c>
      <c r="F129" s="263"/>
      <c r="G129" s="263"/>
      <c r="H129" s="263">
        <f>IFERROR(VLOOKUP(A129,Cargas!$B$3:$I$93,3,FALSE),0)</f>
        <v>0</v>
      </c>
      <c r="I129" s="263">
        <f>IFERROR(VLOOKUP(A129,Cargas!$B$3:$I$93,4,FALSE),0)</f>
        <v>0</v>
      </c>
      <c r="J129" s="263">
        <f>IFERROR(VLOOKUP(A129,Cargas!$B$3:$I$93,5,FALSE),0)</f>
        <v>0</v>
      </c>
      <c r="K129" s="263">
        <f>IFERROR(VLOOKUP(A129,Cargas!$B$3:$I$93,6,FALSE),0)</f>
        <v>0</v>
      </c>
      <c r="L129" s="263">
        <f>IFERROR(VLOOKUP(A129,Cargas!$B$3:$I$93,7,FALSE),0)</f>
        <v>0</v>
      </c>
      <c r="AB129" s="123">
        <f t="shared" si="8"/>
        <v>0</v>
      </c>
      <c r="AC129" s="123">
        <f t="shared" si="8"/>
        <v>0</v>
      </c>
      <c r="AD129" s="123">
        <f t="shared" si="8"/>
        <v>0</v>
      </c>
      <c r="AE129" s="123">
        <f t="shared" si="7"/>
        <v>0</v>
      </c>
      <c r="AF129" s="123">
        <f t="shared" si="7"/>
        <v>0</v>
      </c>
      <c r="AG129" s="123">
        <f t="shared" si="7"/>
        <v>0</v>
      </c>
      <c r="AH129" s="122">
        <f t="shared" si="5"/>
        <v>0</v>
      </c>
    </row>
    <row r="130" spans="1:34" s="74" customFormat="1" ht="15.75">
      <c r="A130" s="125">
        <v>127</v>
      </c>
      <c r="B130" s="73"/>
      <c r="C130" s="126" t="s">
        <v>178</v>
      </c>
      <c r="D130" s="272"/>
      <c r="E130" s="263">
        <f t="shared" si="6"/>
        <v>0</v>
      </c>
      <c r="F130" s="263"/>
      <c r="G130" s="263"/>
      <c r="H130" s="263">
        <f>IFERROR(VLOOKUP(A130,Cargas!$B$3:$I$93,3,FALSE),0)</f>
        <v>0</v>
      </c>
      <c r="I130" s="263">
        <f>IFERROR(VLOOKUP(A130,Cargas!$B$3:$I$93,4,FALSE),0)</f>
        <v>0</v>
      </c>
      <c r="J130" s="263">
        <f>IFERROR(VLOOKUP(A130,Cargas!$B$3:$I$93,5,FALSE),0)</f>
        <v>0</v>
      </c>
      <c r="K130" s="263">
        <f>IFERROR(VLOOKUP(A130,Cargas!$B$3:$I$93,6,FALSE),0)</f>
        <v>0</v>
      </c>
      <c r="L130" s="263">
        <f>IFERROR(VLOOKUP(A130,Cargas!$B$3:$I$93,7,FALSE),0)</f>
        <v>0</v>
      </c>
      <c r="AB130" s="123">
        <f t="shared" si="8"/>
        <v>0</v>
      </c>
      <c r="AC130" s="123">
        <f t="shared" si="8"/>
        <v>0</v>
      </c>
      <c r="AD130" s="123">
        <f t="shared" si="8"/>
        <v>0</v>
      </c>
      <c r="AE130" s="123">
        <f t="shared" si="7"/>
        <v>0</v>
      </c>
      <c r="AF130" s="123">
        <f t="shared" si="7"/>
        <v>0</v>
      </c>
      <c r="AG130" s="123">
        <f t="shared" si="7"/>
        <v>0</v>
      </c>
      <c r="AH130" s="122">
        <f t="shared" si="5"/>
        <v>0</v>
      </c>
    </row>
    <row r="131" spans="1:34" s="75" customFormat="1" ht="15.75">
      <c r="A131" s="125">
        <v>128</v>
      </c>
      <c r="B131" s="73"/>
      <c r="C131" s="126" t="s">
        <v>74</v>
      </c>
      <c r="D131" s="272"/>
      <c r="E131" s="263">
        <f t="shared" si="6"/>
        <v>0</v>
      </c>
      <c r="F131" s="263"/>
      <c r="G131" s="263"/>
      <c r="H131" s="263">
        <f>IFERROR(VLOOKUP(A131,Cargas!$B$3:$I$93,3,FALSE),0)</f>
        <v>0</v>
      </c>
      <c r="I131" s="263">
        <f>IFERROR(VLOOKUP(A131,Cargas!$B$3:$I$93,4,FALSE),0)</f>
        <v>0</v>
      </c>
      <c r="J131" s="263">
        <f>IFERROR(VLOOKUP(A131,Cargas!$B$3:$I$93,5,FALSE),0)</f>
        <v>0</v>
      </c>
      <c r="K131" s="263">
        <f>IFERROR(VLOOKUP(A131,Cargas!$B$3:$I$93,6,FALSE),0)</f>
        <v>0</v>
      </c>
      <c r="L131" s="263">
        <f>IFERROR(VLOOKUP(A131,Cargas!$B$3:$I$93,7,FALSE),0)</f>
        <v>0</v>
      </c>
      <c r="AB131" s="123">
        <f t="shared" si="8"/>
        <v>0</v>
      </c>
      <c r="AC131" s="123">
        <f t="shared" si="8"/>
        <v>0</v>
      </c>
      <c r="AD131" s="123">
        <f t="shared" si="8"/>
        <v>0</v>
      </c>
      <c r="AE131" s="123">
        <f t="shared" si="7"/>
        <v>0</v>
      </c>
      <c r="AF131" s="123">
        <f t="shared" si="7"/>
        <v>0</v>
      </c>
      <c r="AG131" s="123">
        <f t="shared" si="7"/>
        <v>0</v>
      </c>
      <c r="AH131" s="122">
        <f t="shared" si="5"/>
        <v>0</v>
      </c>
    </row>
    <row r="132" spans="1:34" s="74" customFormat="1" ht="15.75">
      <c r="A132" s="125">
        <v>129</v>
      </c>
      <c r="B132" s="73"/>
      <c r="C132" s="126" t="s">
        <v>179</v>
      </c>
      <c r="D132" s="272"/>
      <c r="E132" s="263">
        <f t="shared" si="6"/>
        <v>0</v>
      </c>
      <c r="F132" s="263"/>
      <c r="G132" s="263"/>
      <c r="H132" s="263">
        <f>IFERROR(VLOOKUP(A132,Cargas!$B$3:$I$93,3,FALSE),0)</f>
        <v>0</v>
      </c>
      <c r="I132" s="263">
        <f>IFERROR(VLOOKUP(A132,Cargas!$B$3:$I$93,4,FALSE),0)</f>
        <v>0</v>
      </c>
      <c r="J132" s="263">
        <f>IFERROR(VLOOKUP(A132,Cargas!$B$3:$I$93,5,FALSE),0)</f>
        <v>0</v>
      </c>
      <c r="K132" s="263">
        <f>IFERROR(VLOOKUP(A132,Cargas!$B$3:$I$93,6,FALSE),0)</f>
        <v>0</v>
      </c>
      <c r="L132" s="263">
        <f>IFERROR(VLOOKUP(A132,Cargas!$B$3:$I$93,7,FALSE),0)</f>
        <v>0</v>
      </c>
      <c r="AB132" s="123">
        <f t="shared" si="8"/>
        <v>0</v>
      </c>
      <c r="AC132" s="123">
        <f t="shared" si="8"/>
        <v>0</v>
      </c>
      <c r="AD132" s="123">
        <f t="shared" si="8"/>
        <v>0</v>
      </c>
      <c r="AE132" s="123">
        <f t="shared" si="7"/>
        <v>0</v>
      </c>
      <c r="AF132" s="123">
        <f t="shared" si="7"/>
        <v>0</v>
      </c>
      <c r="AG132" s="123">
        <f t="shared" si="7"/>
        <v>0</v>
      </c>
      <c r="AH132" s="122">
        <f t="shared" si="5"/>
        <v>0</v>
      </c>
    </row>
    <row r="133" spans="1:34" s="75" customFormat="1" ht="15.75">
      <c r="A133" s="125">
        <v>130</v>
      </c>
      <c r="B133" s="73"/>
      <c r="C133" s="127" t="s">
        <v>112</v>
      </c>
      <c r="D133" s="273"/>
      <c r="E133" s="263">
        <f t="shared" si="6"/>
        <v>0</v>
      </c>
      <c r="F133" s="263"/>
      <c r="G133" s="263"/>
      <c r="H133" s="263">
        <f>IFERROR(VLOOKUP(A133,Cargas!$B$3:$I$93,3,FALSE),0)</f>
        <v>0</v>
      </c>
      <c r="I133" s="263">
        <f>IFERROR(VLOOKUP(A133,Cargas!$B$3:$I$93,4,FALSE),0)</f>
        <v>0</v>
      </c>
      <c r="J133" s="263">
        <f>IFERROR(VLOOKUP(A133,Cargas!$B$3:$I$93,5,FALSE),0)</f>
        <v>0</v>
      </c>
      <c r="K133" s="263">
        <f>IFERROR(VLOOKUP(A133,Cargas!$B$3:$I$93,6,FALSE),0)</f>
        <v>0</v>
      </c>
      <c r="L133" s="263">
        <f>IFERROR(VLOOKUP(A133,Cargas!$B$3:$I$93,7,FALSE),0)</f>
        <v>0</v>
      </c>
      <c r="AB133" s="123">
        <f t="shared" si="8"/>
        <v>0</v>
      </c>
      <c r="AC133" s="123">
        <f t="shared" si="8"/>
        <v>0</v>
      </c>
      <c r="AD133" s="123">
        <f t="shared" si="8"/>
        <v>0</v>
      </c>
      <c r="AE133" s="123">
        <f t="shared" si="7"/>
        <v>0</v>
      </c>
      <c r="AF133" s="123">
        <f t="shared" si="7"/>
        <v>0</v>
      </c>
      <c r="AG133" s="123">
        <f t="shared" si="7"/>
        <v>0</v>
      </c>
      <c r="AH133" s="122">
        <f t="shared" si="5"/>
        <v>0</v>
      </c>
    </row>
    <row r="134" spans="1:34" s="75" customFormat="1" ht="15.75">
      <c r="A134" s="125">
        <v>131</v>
      </c>
      <c r="B134" s="73"/>
      <c r="C134" s="127" t="s">
        <v>111</v>
      </c>
      <c r="D134" s="273"/>
      <c r="E134" s="263">
        <f t="shared" si="6"/>
        <v>0</v>
      </c>
      <c r="F134" s="263"/>
      <c r="G134" s="263"/>
      <c r="H134" s="263">
        <f>IFERROR(VLOOKUP(A134,Cargas!$B$3:$I$93,3,FALSE),0)</f>
        <v>0</v>
      </c>
      <c r="I134" s="263">
        <f>IFERROR(VLOOKUP(A134,Cargas!$B$3:$I$93,4,FALSE),0)</f>
        <v>0</v>
      </c>
      <c r="J134" s="263">
        <f>IFERROR(VLOOKUP(A134,Cargas!$B$3:$I$93,5,FALSE),0)</f>
        <v>0</v>
      </c>
      <c r="K134" s="263">
        <f>IFERROR(VLOOKUP(A134,Cargas!$B$3:$I$93,6,FALSE),0)</f>
        <v>0</v>
      </c>
      <c r="L134" s="263">
        <f>IFERROR(VLOOKUP(A134,Cargas!$B$3:$I$93,7,FALSE),0)</f>
        <v>0</v>
      </c>
      <c r="AB134" s="123">
        <f t="shared" si="8"/>
        <v>0</v>
      </c>
      <c r="AC134" s="123">
        <f t="shared" si="8"/>
        <v>0</v>
      </c>
      <c r="AD134" s="123">
        <f t="shared" si="8"/>
        <v>0</v>
      </c>
      <c r="AE134" s="123">
        <f t="shared" si="7"/>
        <v>0</v>
      </c>
      <c r="AF134" s="123">
        <f t="shared" si="7"/>
        <v>0</v>
      </c>
      <c r="AG134" s="123">
        <f t="shared" si="7"/>
        <v>0</v>
      </c>
      <c r="AH134" s="122">
        <f t="shared" si="5"/>
        <v>0</v>
      </c>
    </row>
    <row r="135" spans="1:34" s="74" customFormat="1" ht="15.75">
      <c r="A135" s="125">
        <v>132</v>
      </c>
      <c r="B135" s="73"/>
      <c r="C135" s="127" t="s">
        <v>78</v>
      </c>
      <c r="D135" s="273"/>
      <c r="E135" s="263">
        <f t="shared" si="6"/>
        <v>0</v>
      </c>
      <c r="F135" s="263"/>
      <c r="G135" s="263"/>
      <c r="H135" s="263">
        <f>IFERROR(VLOOKUP(A135,Cargas!$B$3:$I$93,3,FALSE),0)</f>
        <v>0</v>
      </c>
      <c r="I135" s="263">
        <f>IFERROR(VLOOKUP(A135,Cargas!$B$3:$I$93,4,FALSE),0)</f>
        <v>0</v>
      </c>
      <c r="J135" s="263">
        <f>IFERROR(VLOOKUP(A135,Cargas!$B$3:$I$93,5,FALSE),0)</f>
        <v>0</v>
      </c>
      <c r="K135" s="263">
        <f>IFERROR(VLOOKUP(A135,Cargas!$B$3:$I$93,6,FALSE),0)</f>
        <v>0</v>
      </c>
      <c r="L135" s="263">
        <f>IFERROR(VLOOKUP(A135,Cargas!$B$3:$I$93,7,FALSE),0)</f>
        <v>0</v>
      </c>
      <c r="AB135" s="123">
        <f t="shared" si="8"/>
        <v>0</v>
      </c>
      <c r="AC135" s="123">
        <f t="shared" si="8"/>
        <v>0</v>
      </c>
      <c r="AD135" s="123">
        <f t="shared" si="8"/>
        <v>0</v>
      </c>
      <c r="AE135" s="123">
        <f t="shared" si="7"/>
        <v>0</v>
      </c>
      <c r="AF135" s="123">
        <f t="shared" si="7"/>
        <v>0</v>
      </c>
      <c r="AG135" s="123">
        <f t="shared" si="7"/>
        <v>0</v>
      </c>
      <c r="AH135" s="122">
        <f t="shared" si="5"/>
        <v>0</v>
      </c>
    </row>
    <row r="136" spans="1:34" s="75" customFormat="1" ht="15.75">
      <c r="A136" s="125">
        <v>133</v>
      </c>
      <c r="B136" s="73"/>
      <c r="C136" s="127" t="s">
        <v>79</v>
      </c>
      <c r="D136" s="272"/>
      <c r="E136" s="263">
        <f t="shared" si="6"/>
        <v>0</v>
      </c>
      <c r="F136" s="263"/>
      <c r="G136" s="263"/>
      <c r="H136" s="263">
        <f>IFERROR(VLOOKUP(A136,Cargas!$B$3:$I$93,3,FALSE),0)</f>
        <v>0</v>
      </c>
      <c r="I136" s="263">
        <f>IFERROR(VLOOKUP(A136,Cargas!$B$3:$I$93,4,FALSE),0)</f>
        <v>0</v>
      </c>
      <c r="J136" s="263">
        <f>IFERROR(VLOOKUP(A136,Cargas!$B$3:$I$93,5,FALSE),0)</f>
        <v>0</v>
      </c>
      <c r="K136" s="263">
        <f>IFERROR(VLOOKUP(A136,Cargas!$B$3:$I$93,6,FALSE),0)</f>
        <v>0</v>
      </c>
      <c r="L136" s="263">
        <f>IFERROR(VLOOKUP(A136,Cargas!$B$3:$I$93,7,FALSE),0)</f>
        <v>0</v>
      </c>
      <c r="AB136" s="123">
        <f t="shared" si="8"/>
        <v>0</v>
      </c>
      <c r="AC136" s="123">
        <f t="shared" si="8"/>
        <v>0</v>
      </c>
      <c r="AD136" s="123">
        <f t="shared" si="8"/>
        <v>0</v>
      </c>
      <c r="AE136" s="123">
        <f t="shared" si="7"/>
        <v>0</v>
      </c>
      <c r="AF136" s="123">
        <f t="shared" si="7"/>
        <v>0</v>
      </c>
      <c r="AG136" s="123">
        <f t="shared" si="7"/>
        <v>0</v>
      </c>
      <c r="AH136" s="122">
        <f t="shared" si="5"/>
        <v>0</v>
      </c>
    </row>
    <row r="137" spans="1:34" s="75" customFormat="1" ht="15.75">
      <c r="A137" s="125">
        <v>136</v>
      </c>
      <c r="B137" s="73"/>
      <c r="C137" s="127" t="s">
        <v>80</v>
      </c>
      <c r="D137" s="272"/>
      <c r="E137" s="263">
        <f t="shared" si="6"/>
        <v>0</v>
      </c>
      <c r="F137" s="263"/>
      <c r="G137" s="263"/>
      <c r="H137" s="263">
        <f>IFERROR(VLOOKUP(A137,Cargas!$B$3:$I$93,3,FALSE),0)</f>
        <v>0</v>
      </c>
      <c r="I137" s="263">
        <f>IFERROR(VLOOKUP(A137,Cargas!$B$3:$I$93,4,FALSE),0)</f>
        <v>0</v>
      </c>
      <c r="J137" s="263">
        <f>IFERROR(VLOOKUP(A137,Cargas!$B$3:$I$93,5,FALSE),0)</f>
        <v>0</v>
      </c>
      <c r="K137" s="263">
        <f>IFERROR(VLOOKUP(A137,Cargas!$B$3:$I$93,6,FALSE),0)</f>
        <v>0</v>
      </c>
      <c r="L137" s="263">
        <f>IFERROR(VLOOKUP(A137,Cargas!$B$3:$I$93,7,FALSE),0)</f>
        <v>0</v>
      </c>
      <c r="AB137" s="123">
        <f t="shared" si="8"/>
        <v>0</v>
      </c>
      <c r="AC137" s="123">
        <f t="shared" si="8"/>
        <v>0</v>
      </c>
      <c r="AD137" s="123">
        <f t="shared" si="8"/>
        <v>0</v>
      </c>
      <c r="AE137" s="123">
        <f t="shared" si="7"/>
        <v>0</v>
      </c>
      <c r="AF137" s="123">
        <f t="shared" si="7"/>
        <v>0</v>
      </c>
      <c r="AG137" s="123">
        <f t="shared" si="7"/>
        <v>0</v>
      </c>
      <c r="AH137" s="122">
        <f t="shared" si="5"/>
        <v>0</v>
      </c>
    </row>
    <row r="138" spans="1:34" s="75" customFormat="1" ht="15.75">
      <c r="A138" s="125">
        <v>137</v>
      </c>
      <c r="B138" s="73"/>
      <c r="C138" s="126" t="s">
        <v>81</v>
      </c>
      <c r="D138" s="272"/>
      <c r="E138" s="263">
        <f t="shared" si="6"/>
        <v>0</v>
      </c>
      <c r="F138" s="263"/>
      <c r="G138" s="263"/>
      <c r="H138" s="263">
        <f>IFERROR(VLOOKUP(A138,Cargas!$B$3:$I$93,3,FALSE),0)</f>
        <v>0</v>
      </c>
      <c r="I138" s="263">
        <f>IFERROR(VLOOKUP(A138,Cargas!$B$3:$I$93,4,FALSE),0)</f>
        <v>0</v>
      </c>
      <c r="J138" s="263">
        <f>IFERROR(VLOOKUP(A138,Cargas!$B$3:$I$93,5,FALSE),0)</f>
        <v>0</v>
      </c>
      <c r="K138" s="263">
        <f>IFERROR(VLOOKUP(A138,Cargas!$B$3:$I$93,6,FALSE),0)</f>
        <v>0</v>
      </c>
      <c r="L138" s="263">
        <f>IFERROR(VLOOKUP(A138,Cargas!$B$3:$I$93,7,FALSE),0)</f>
        <v>0</v>
      </c>
      <c r="AB138" s="123">
        <f t="shared" si="8"/>
        <v>0</v>
      </c>
      <c r="AC138" s="123">
        <f t="shared" si="8"/>
        <v>0</v>
      </c>
      <c r="AD138" s="123">
        <f t="shared" si="8"/>
        <v>0</v>
      </c>
      <c r="AE138" s="123">
        <f t="shared" si="7"/>
        <v>0</v>
      </c>
      <c r="AF138" s="123">
        <f t="shared" si="7"/>
        <v>0</v>
      </c>
      <c r="AG138" s="123">
        <f t="shared" si="7"/>
        <v>0</v>
      </c>
      <c r="AH138" s="122">
        <f t="shared" si="5"/>
        <v>0</v>
      </c>
    </row>
    <row r="139" spans="1:34" s="74" customFormat="1" ht="15.75">
      <c r="A139" s="125">
        <v>138</v>
      </c>
      <c r="B139" s="73"/>
      <c r="C139" s="126" t="s">
        <v>82</v>
      </c>
      <c r="D139" s="272"/>
      <c r="E139" s="263">
        <f t="shared" si="6"/>
        <v>0</v>
      </c>
      <c r="F139" s="263"/>
      <c r="G139" s="263"/>
      <c r="H139" s="263">
        <f>IFERROR(VLOOKUP(A139,Cargas!$B$3:$I$93,3,FALSE),0)</f>
        <v>0</v>
      </c>
      <c r="I139" s="263">
        <f>IFERROR(VLOOKUP(A139,Cargas!$B$3:$I$93,4,FALSE),0)</f>
        <v>0</v>
      </c>
      <c r="J139" s="263">
        <f>IFERROR(VLOOKUP(A139,Cargas!$B$3:$I$93,5,FALSE),0)</f>
        <v>0</v>
      </c>
      <c r="K139" s="263">
        <f>IFERROR(VLOOKUP(A139,Cargas!$B$3:$I$93,6,FALSE),0)</f>
        <v>0</v>
      </c>
      <c r="L139" s="263">
        <f>IFERROR(VLOOKUP(A139,Cargas!$B$3:$I$93,7,FALSE),0)</f>
        <v>0</v>
      </c>
      <c r="AB139" s="123">
        <f t="shared" si="8"/>
        <v>0</v>
      </c>
      <c r="AC139" s="123">
        <f t="shared" si="8"/>
        <v>0</v>
      </c>
      <c r="AD139" s="123">
        <f t="shared" si="8"/>
        <v>0</v>
      </c>
      <c r="AE139" s="123">
        <f t="shared" si="7"/>
        <v>0</v>
      </c>
      <c r="AF139" s="123">
        <f t="shared" si="7"/>
        <v>0</v>
      </c>
      <c r="AG139" s="123">
        <f t="shared" si="7"/>
        <v>0</v>
      </c>
      <c r="AH139" s="122">
        <f t="shared" si="5"/>
        <v>0</v>
      </c>
    </row>
    <row r="140" spans="1:34" s="75" customFormat="1" ht="15.75">
      <c r="A140" s="125">
        <v>139</v>
      </c>
      <c r="B140" s="73"/>
      <c r="C140" s="126" t="s">
        <v>83</v>
      </c>
      <c r="D140" s="272"/>
      <c r="E140" s="263">
        <f t="shared" si="6"/>
        <v>0</v>
      </c>
      <c r="F140" s="263"/>
      <c r="G140" s="263"/>
      <c r="H140" s="263">
        <f>IFERROR(VLOOKUP(A140,Cargas!$B$3:$I$93,3,FALSE),0)</f>
        <v>0</v>
      </c>
      <c r="I140" s="263">
        <f>IFERROR(VLOOKUP(A140,Cargas!$B$3:$I$93,4,FALSE),0)</f>
        <v>0</v>
      </c>
      <c r="J140" s="263">
        <f>IFERROR(VLOOKUP(A140,Cargas!$B$3:$I$93,5,FALSE),0)</f>
        <v>0</v>
      </c>
      <c r="K140" s="263">
        <f>IFERROR(VLOOKUP(A140,Cargas!$B$3:$I$93,6,FALSE),0)</f>
        <v>0</v>
      </c>
      <c r="L140" s="263">
        <f>IFERROR(VLOOKUP(A140,Cargas!$B$3:$I$93,7,FALSE),0)</f>
        <v>0</v>
      </c>
      <c r="AB140" s="123">
        <f t="shared" si="8"/>
        <v>0</v>
      </c>
      <c r="AC140" s="123">
        <f t="shared" si="8"/>
        <v>0</v>
      </c>
      <c r="AD140" s="123">
        <f t="shared" si="8"/>
        <v>0</v>
      </c>
      <c r="AE140" s="123">
        <f t="shared" si="7"/>
        <v>0</v>
      </c>
      <c r="AF140" s="123">
        <f t="shared" si="7"/>
        <v>0</v>
      </c>
      <c r="AG140" s="123">
        <f t="shared" si="7"/>
        <v>0</v>
      </c>
      <c r="AH140" s="122">
        <f t="shared" si="5"/>
        <v>0</v>
      </c>
    </row>
    <row r="141" spans="1:34" s="75" customFormat="1" ht="15.75">
      <c r="A141" s="125">
        <v>140</v>
      </c>
      <c r="B141" s="73"/>
      <c r="C141" s="126" t="s">
        <v>180</v>
      </c>
      <c r="D141" s="272"/>
      <c r="E141" s="263">
        <f t="shared" si="6"/>
        <v>0</v>
      </c>
      <c r="F141" s="263"/>
      <c r="G141" s="263"/>
      <c r="H141" s="263">
        <f>IFERROR(VLOOKUP(A141,Cargas!$B$3:$I$93,3,FALSE),0)</f>
        <v>0</v>
      </c>
      <c r="I141" s="263">
        <f>IFERROR(VLOOKUP(A141,Cargas!$B$3:$I$93,4,FALSE),0)</f>
        <v>0</v>
      </c>
      <c r="J141" s="263">
        <f>IFERROR(VLOOKUP(A141,Cargas!$B$3:$I$93,5,FALSE),0)</f>
        <v>0</v>
      </c>
      <c r="K141" s="263">
        <f>IFERROR(VLOOKUP(A141,Cargas!$B$3:$I$93,6,FALSE),0)</f>
        <v>0</v>
      </c>
      <c r="L141" s="263">
        <f>IFERROR(VLOOKUP(A141,Cargas!$B$3:$I$93,7,FALSE),0)</f>
        <v>0</v>
      </c>
      <c r="AB141" s="123">
        <f t="shared" si="8"/>
        <v>0</v>
      </c>
      <c r="AC141" s="123">
        <f t="shared" si="8"/>
        <v>0</v>
      </c>
      <c r="AD141" s="123">
        <f t="shared" si="8"/>
        <v>0</v>
      </c>
      <c r="AE141" s="123">
        <f t="shared" si="7"/>
        <v>0</v>
      </c>
      <c r="AF141" s="123">
        <f t="shared" si="7"/>
        <v>0</v>
      </c>
      <c r="AG141" s="123">
        <f t="shared" si="7"/>
        <v>0</v>
      </c>
      <c r="AH141" s="122">
        <f t="shared" si="5"/>
        <v>0</v>
      </c>
    </row>
    <row r="142" spans="1:34" s="74" customFormat="1" ht="15.75">
      <c r="A142" s="125">
        <v>141</v>
      </c>
      <c r="B142" s="73"/>
      <c r="C142" s="126" t="s">
        <v>181</v>
      </c>
      <c r="D142" s="272"/>
      <c r="E142" s="263">
        <f t="shared" si="6"/>
        <v>0</v>
      </c>
      <c r="F142" s="263"/>
      <c r="G142" s="263"/>
      <c r="H142" s="263">
        <f>IFERROR(VLOOKUP(A142,Cargas!$B$3:$I$93,3,FALSE),0)</f>
        <v>0</v>
      </c>
      <c r="I142" s="263">
        <f>IFERROR(VLOOKUP(A142,Cargas!$B$3:$I$93,4,FALSE),0)</f>
        <v>0</v>
      </c>
      <c r="J142" s="263">
        <f>IFERROR(VLOOKUP(A142,Cargas!$B$3:$I$93,5,FALSE),0)</f>
        <v>0</v>
      </c>
      <c r="K142" s="263">
        <f>IFERROR(VLOOKUP(A142,Cargas!$B$3:$I$93,6,FALSE),0)</f>
        <v>0</v>
      </c>
      <c r="L142" s="263">
        <f>IFERROR(VLOOKUP(A142,Cargas!$B$3:$I$93,7,FALSE),0)</f>
        <v>0</v>
      </c>
      <c r="AB142" s="123">
        <f t="shared" si="8"/>
        <v>0</v>
      </c>
      <c r="AC142" s="123">
        <f t="shared" si="8"/>
        <v>0</v>
      </c>
      <c r="AD142" s="123">
        <f t="shared" si="8"/>
        <v>0</v>
      </c>
      <c r="AE142" s="123">
        <f t="shared" si="7"/>
        <v>0</v>
      </c>
      <c r="AF142" s="123">
        <f t="shared" si="7"/>
        <v>0</v>
      </c>
      <c r="AG142" s="123">
        <f t="shared" si="7"/>
        <v>0</v>
      </c>
      <c r="AH142" s="122">
        <f t="shared" si="5"/>
        <v>0</v>
      </c>
    </row>
    <row r="143" spans="1:34" s="75" customFormat="1" ht="15.75">
      <c r="A143" s="125">
        <v>142</v>
      </c>
      <c r="B143" s="73"/>
      <c r="C143" s="127" t="s">
        <v>182</v>
      </c>
      <c r="D143" s="274"/>
      <c r="E143" s="263">
        <f t="shared" si="6"/>
        <v>0</v>
      </c>
      <c r="F143" s="263"/>
      <c r="G143" s="263"/>
      <c r="H143" s="263">
        <f>IFERROR(VLOOKUP(A143,Cargas!$B$3:$I$93,3,FALSE),0)</f>
        <v>0</v>
      </c>
      <c r="I143" s="263">
        <f>IFERROR(VLOOKUP(A143,Cargas!$B$3:$I$93,4,FALSE),0)</f>
        <v>0</v>
      </c>
      <c r="J143" s="263">
        <f>IFERROR(VLOOKUP(A143,Cargas!$B$3:$I$93,5,FALSE),0)</f>
        <v>0</v>
      </c>
      <c r="K143" s="263">
        <f>IFERROR(VLOOKUP(A143,Cargas!$B$3:$I$93,6,FALSE),0)</f>
        <v>0</v>
      </c>
      <c r="L143" s="263">
        <f>IFERROR(VLOOKUP(A143,Cargas!$B$3:$I$93,7,FALSE),0)</f>
        <v>0</v>
      </c>
      <c r="AB143" s="123">
        <f t="shared" si="8"/>
        <v>0</v>
      </c>
      <c r="AC143" s="123">
        <f t="shared" si="8"/>
        <v>0</v>
      </c>
      <c r="AD143" s="123">
        <f t="shared" si="8"/>
        <v>0</v>
      </c>
      <c r="AE143" s="123">
        <f t="shared" si="7"/>
        <v>0</v>
      </c>
      <c r="AF143" s="123">
        <f t="shared" si="7"/>
        <v>0</v>
      </c>
      <c r="AG143" s="123">
        <f t="shared" si="7"/>
        <v>0</v>
      </c>
      <c r="AH143" s="122">
        <f t="shared" ref="AH143:AH206" si="9">+SUM(AB143:AG143)</f>
        <v>0</v>
      </c>
    </row>
    <row r="144" spans="1:34" s="75" customFormat="1" ht="15.75">
      <c r="A144" s="125">
        <v>143</v>
      </c>
      <c r="B144" s="73"/>
      <c r="C144" s="126" t="s">
        <v>84</v>
      </c>
      <c r="D144" s="272"/>
      <c r="E144" s="263">
        <f t="shared" si="6"/>
        <v>0</v>
      </c>
      <c r="F144" s="263"/>
      <c r="G144" s="263"/>
      <c r="H144" s="263">
        <f>IFERROR(VLOOKUP(A144,Cargas!$B$3:$I$93,3,FALSE),0)</f>
        <v>0</v>
      </c>
      <c r="I144" s="263">
        <f>IFERROR(VLOOKUP(A144,Cargas!$B$3:$I$93,4,FALSE),0)</f>
        <v>0</v>
      </c>
      <c r="J144" s="263">
        <f>IFERROR(VLOOKUP(A144,Cargas!$B$3:$I$93,5,FALSE),0)</f>
        <v>0</v>
      </c>
      <c r="K144" s="263">
        <f>IFERROR(VLOOKUP(A144,Cargas!$B$3:$I$93,6,FALSE),0)</f>
        <v>0</v>
      </c>
      <c r="L144" s="263">
        <f>IFERROR(VLOOKUP(A144,Cargas!$B$3:$I$93,7,FALSE),0)</f>
        <v>0</v>
      </c>
      <c r="AB144" s="123">
        <f t="shared" si="8"/>
        <v>0</v>
      </c>
      <c r="AC144" s="123">
        <f t="shared" si="8"/>
        <v>0</v>
      </c>
      <c r="AD144" s="123">
        <f t="shared" si="8"/>
        <v>0</v>
      </c>
      <c r="AE144" s="123">
        <f t="shared" si="7"/>
        <v>0</v>
      </c>
      <c r="AF144" s="123">
        <f t="shared" si="7"/>
        <v>0</v>
      </c>
      <c r="AG144" s="123">
        <f t="shared" si="7"/>
        <v>0</v>
      </c>
      <c r="AH144" s="122">
        <f t="shared" si="9"/>
        <v>0</v>
      </c>
    </row>
    <row r="145" spans="1:34" s="74" customFormat="1" ht="15.75">
      <c r="A145" s="125">
        <v>145</v>
      </c>
      <c r="B145" s="73"/>
      <c r="C145" s="126" t="s">
        <v>183</v>
      </c>
      <c r="D145" s="272"/>
      <c r="E145" s="263">
        <f t="shared" ref="E145:E208" si="10">+SUM(H145:L145)</f>
        <v>0</v>
      </c>
      <c r="F145" s="263"/>
      <c r="G145" s="263"/>
      <c r="H145" s="263">
        <f>IFERROR(VLOOKUP(A145,Cargas!$B$3:$I$93,3,FALSE),0)</f>
        <v>0</v>
      </c>
      <c r="I145" s="263">
        <f>IFERROR(VLOOKUP(A145,Cargas!$B$3:$I$93,4,FALSE),0)</f>
        <v>0</v>
      </c>
      <c r="J145" s="263">
        <f>IFERROR(VLOOKUP(A145,Cargas!$B$3:$I$93,5,FALSE),0)</f>
        <v>0</v>
      </c>
      <c r="K145" s="263">
        <f>IFERROR(VLOOKUP(A145,Cargas!$B$3:$I$93,6,FALSE),0)</f>
        <v>0</v>
      </c>
      <c r="L145" s="263">
        <f>IFERROR(VLOOKUP(A145,Cargas!$B$3:$I$93,7,FALSE),0)</f>
        <v>0</v>
      </c>
      <c r="AB145" s="123">
        <f t="shared" si="8"/>
        <v>0</v>
      </c>
      <c r="AC145" s="123">
        <f t="shared" si="8"/>
        <v>0</v>
      </c>
      <c r="AD145" s="123">
        <f t="shared" si="8"/>
        <v>0</v>
      </c>
      <c r="AE145" s="123">
        <f t="shared" si="7"/>
        <v>0</v>
      </c>
      <c r="AF145" s="123">
        <f t="shared" si="7"/>
        <v>0</v>
      </c>
      <c r="AG145" s="123">
        <f t="shared" si="7"/>
        <v>0</v>
      </c>
      <c r="AH145" s="122">
        <f t="shared" si="9"/>
        <v>0</v>
      </c>
    </row>
    <row r="146" spans="1:34" s="75" customFormat="1" ht="15.75">
      <c r="A146" s="125">
        <v>146</v>
      </c>
      <c r="B146" s="73"/>
      <c r="C146" s="126" t="s">
        <v>86</v>
      </c>
      <c r="D146" s="272"/>
      <c r="E146" s="263">
        <f t="shared" si="10"/>
        <v>0</v>
      </c>
      <c r="F146" s="263"/>
      <c r="G146" s="263"/>
      <c r="H146" s="263">
        <f>IFERROR(VLOOKUP(A146,Cargas!$B$3:$I$93,3,FALSE),0)</f>
        <v>0</v>
      </c>
      <c r="I146" s="263">
        <f>IFERROR(VLOOKUP(A146,Cargas!$B$3:$I$93,4,FALSE),0)</f>
        <v>0</v>
      </c>
      <c r="J146" s="263">
        <f>IFERROR(VLOOKUP(A146,Cargas!$B$3:$I$93,5,FALSE),0)</f>
        <v>0</v>
      </c>
      <c r="K146" s="263">
        <f>IFERROR(VLOOKUP(A146,Cargas!$B$3:$I$93,6,FALSE),0)</f>
        <v>0</v>
      </c>
      <c r="L146" s="263">
        <f>IFERROR(VLOOKUP(A146,Cargas!$B$3:$I$93,7,FALSE),0)</f>
        <v>0</v>
      </c>
      <c r="AB146" s="123">
        <f t="shared" si="8"/>
        <v>0</v>
      </c>
      <c r="AC146" s="123">
        <f t="shared" si="8"/>
        <v>0</v>
      </c>
      <c r="AD146" s="123">
        <f t="shared" si="8"/>
        <v>0</v>
      </c>
      <c r="AE146" s="123">
        <f t="shared" si="7"/>
        <v>0</v>
      </c>
      <c r="AF146" s="123">
        <f t="shared" si="7"/>
        <v>0</v>
      </c>
      <c r="AG146" s="123">
        <f t="shared" si="7"/>
        <v>0</v>
      </c>
      <c r="AH146" s="122">
        <f t="shared" si="9"/>
        <v>0</v>
      </c>
    </row>
    <row r="147" spans="1:34" s="75" customFormat="1" ht="15.75">
      <c r="A147" s="125">
        <v>149</v>
      </c>
      <c r="B147" s="73"/>
      <c r="C147" s="126" t="s">
        <v>89</v>
      </c>
      <c r="D147" s="272"/>
      <c r="E147" s="263">
        <f t="shared" si="10"/>
        <v>0</v>
      </c>
      <c r="F147" s="263"/>
      <c r="G147" s="263"/>
      <c r="H147" s="263">
        <f>IFERROR(VLOOKUP(A147,Cargas!$B$3:$I$93,3,FALSE),0)</f>
        <v>0</v>
      </c>
      <c r="I147" s="263">
        <f>IFERROR(VLOOKUP(A147,Cargas!$B$3:$I$93,4,FALSE),0)</f>
        <v>0</v>
      </c>
      <c r="J147" s="263">
        <f>IFERROR(VLOOKUP(A147,Cargas!$B$3:$I$93,5,FALSE),0)</f>
        <v>0</v>
      </c>
      <c r="K147" s="263">
        <f>IFERROR(VLOOKUP(A147,Cargas!$B$3:$I$93,6,FALSE),0)</f>
        <v>0</v>
      </c>
      <c r="L147" s="263">
        <f>IFERROR(VLOOKUP(A147,Cargas!$B$3:$I$93,7,FALSE),0)</f>
        <v>0</v>
      </c>
      <c r="AB147" s="123">
        <f t="shared" si="8"/>
        <v>0</v>
      </c>
      <c r="AC147" s="123">
        <f t="shared" si="8"/>
        <v>0</v>
      </c>
      <c r="AD147" s="123">
        <f t="shared" si="8"/>
        <v>0</v>
      </c>
      <c r="AE147" s="123">
        <f t="shared" si="7"/>
        <v>0</v>
      </c>
      <c r="AF147" s="123">
        <f t="shared" si="7"/>
        <v>0</v>
      </c>
      <c r="AG147" s="123">
        <f t="shared" si="7"/>
        <v>0</v>
      </c>
      <c r="AH147" s="122">
        <f t="shared" si="9"/>
        <v>0</v>
      </c>
    </row>
    <row r="148" spans="1:34" s="74" customFormat="1" ht="15.75">
      <c r="A148" s="125">
        <v>150</v>
      </c>
      <c r="B148" s="73"/>
      <c r="C148" s="126" t="s">
        <v>94</v>
      </c>
      <c r="D148" s="272"/>
      <c r="E148" s="263">
        <f t="shared" si="10"/>
        <v>0</v>
      </c>
      <c r="F148" s="263"/>
      <c r="G148" s="263"/>
      <c r="H148" s="263">
        <f>IFERROR(VLOOKUP(A148,Cargas!$B$3:$I$93,3,FALSE),0)</f>
        <v>0</v>
      </c>
      <c r="I148" s="263">
        <f>IFERROR(VLOOKUP(A148,Cargas!$B$3:$I$93,4,FALSE),0)</f>
        <v>0</v>
      </c>
      <c r="J148" s="263">
        <f>IFERROR(VLOOKUP(A148,Cargas!$B$3:$I$93,5,FALSE),0)</f>
        <v>0</v>
      </c>
      <c r="K148" s="263">
        <f>IFERROR(VLOOKUP(A148,Cargas!$B$3:$I$93,6,FALSE),0)</f>
        <v>0</v>
      </c>
      <c r="L148" s="263">
        <f>IFERROR(VLOOKUP(A148,Cargas!$B$3:$I$93,7,FALSE),0)</f>
        <v>0</v>
      </c>
      <c r="AB148" s="123">
        <f t="shared" si="8"/>
        <v>0</v>
      </c>
      <c r="AC148" s="123">
        <f t="shared" si="8"/>
        <v>0</v>
      </c>
      <c r="AD148" s="123">
        <f t="shared" si="8"/>
        <v>0</v>
      </c>
      <c r="AE148" s="123">
        <f t="shared" si="7"/>
        <v>0</v>
      </c>
      <c r="AF148" s="123">
        <f t="shared" si="7"/>
        <v>0</v>
      </c>
      <c r="AG148" s="123">
        <f t="shared" si="7"/>
        <v>0</v>
      </c>
      <c r="AH148" s="122">
        <f t="shared" si="9"/>
        <v>0</v>
      </c>
    </row>
    <row r="149" spans="1:34" s="75" customFormat="1" ht="15.75">
      <c r="A149" s="125">
        <v>151</v>
      </c>
      <c r="B149" s="73"/>
      <c r="C149" s="126" t="s">
        <v>90</v>
      </c>
      <c r="D149" s="272"/>
      <c r="E149" s="263">
        <f t="shared" si="10"/>
        <v>0</v>
      </c>
      <c r="F149" s="263"/>
      <c r="G149" s="263"/>
      <c r="H149" s="263">
        <f>IFERROR(VLOOKUP(A149,Cargas!$B$3:$I$93,3,FALSE),0)</f>
        <v>0</v>
      </c>
      <c r="I149" s="263">
        <f>IFERROR(VLOOKUP(A149,Cargas!$B$3:$I$93,4,FALSE),0)</f>
        <v>0</v>
      </c>
      <c r="J149" s="263">
        <f>IFERROR(VLOOKUP(A149,Cargas!$B$3:$I$93,5,FALSE),0)</f>
        <v>0</v>
      </c>
      <c r="K149" s="263">
        <f>IFERROR(VLOOKUP(A149,Cargas!$B$3:$I$93,6,FALSE),0)</f>
        <v>0</v>
      </c>
      <c r="L149" s="263">
        <f>IFERROR(VLOOKUP(A149,Cargas!$B$3:$I$93,7,FALSE),0)</f>
        <v>0</v>
      </c>
      <c r="AB149" s="123">
        <f t="shared" si="8"/>
        <v>0</v>
      </c>
      <c r="AC149" s="123">
        <f t="shared" si="8"/>
        <v>0</v>
      </c>
      <c r="AD149" s="123">
        <f t="shared" si="8"/>
        <v>0</v>
      </c>
      <c r="AE149" s="123">
        <f t="shared" si="7"/>
        <v>0</v>
      </c>
      <c r="AF149" s="123">
        <f t="shared" si="7"/>
        <v>0</v>
      </c>
      <c r="AG149" s="123">
        <f t="shared" si="7"/>
        <v>0</v>
      </c>
      <c r="AH149" s="122">
        <f t="shared" si="9"/>
        <v>0</v>
      </c>
    </row>
    <row r="150" spans="1:34" s="75" customFormat="1" ht="15.75">
      <c r="A150" s="125">
        <v>152</v>
      </c>
      <c r="B150" s="73"/>
      <c r="C150" s="127" t="s">
        <v>91</v>
      </c>
      <c r="D150" s="273"/>
      <c r="E150" s="263">
        <f t="shared" si="10"/>
        <v>0</v>
      </c>
      <c r="F150" s="263"/>
      <c r="G150" s="263"/>
      <c r="H150" s="263">
        <f>IFERROR(VLOOKUP(A150,Cargas!$B$3:$I$93,3,FALSE),0)</f>
        <v>0</v>
      </c>
      <c r="I150" s="263">
        <f>IFERROR(VLOOKUP(A150,Cargas!$B$3:$I$93,4,FALSE),0)</f>
        <v>0</v>
      </c>
      <c r="J150" s="263">
        <f>IFERROR(VLOOKUP(A150,Cargas!$B$3:$I$93,5,FALSE),0)</f>
        <v>0</v>
      </c>
      <c r="K150" s="263">
        <f>IFERROR(VLOOKUP(A150,Cargas!$B$3:$I$93,6,FALSE),0)</f>
        <v>0</v>
      </c>
      <c r="L150" s="263">
        <f>IFERROR(VLOOKUP(A150,Cargas!$B$3:$I$93,7,FALSE),0)</f>
        <v>0</v>
      </c>
      <c r="AB150" s="123">
        <f t="shared" si="8"/>
        <v>0</v>
      </c>
      <c r="AC150" s="123">
        <f t="shared" si="8"/>
        <v>0</v>
      </c>
      <c r="AD150" s="123">
        <f t="shared" si="8"/>
        <v>0</v>
      </c>
      <c r="AE150" s="123">
        <f t="shared" si="7"/>
        <v>0</v>
      </c>
      <c r="AF150" s="123">
        <f t="shared" si="7"/>
        <v>0</v>
      </c>
      <c r="AG150" s="123">
        <f t="shared" si="7"/>
        <v>0</v>
      </c>
      <c r="AH150" s="122">
        <f t="shared" si="9"/>
        <v>0</v>
      </c>
    </row>
    <row r="151" spans="1:34" s="74" customFormat="1" ht="15.75">
      <c r="A151" s="125">
        <v>153</v>
      </c>
      <c r="B151" s="73"/>
      <c r="C151" s="127" t="s">
        <v>92</v>
      </c>
      <c r="D151" s="273"/>
      <c r="E151" s="263">
        <f t="shared" si="10"/>
        <v>0</v>
      </c>
      <c r="F151" s="263"/>
      <c r="G151" s="263"/>
      <c r="H151" s="263">
        <f>IFERROR(VLOOKUP(A151,Cargas!$B$3:$I$93,3,FALSE),0)</f>
        <v>0</v>
      </c>
      <c r="I151" s="263">
        <f>IFERROR(VLOOKUP(A151,Cargas!$B$3:$I$93,4,FALSE),0)</f>
        <v>0</v>
      </c>
      <c r="J151" s="263">
        <f>IFERROR(VLOOKUP(A151,Cargas!$B$3:$I$93,5,FALSE),0)</f>
        <v>0</v>
      </c>
      <c r="K151" s="263">
        <f>IFERROR(VLOOKUP(A151,Cargas!$B$3:$I$93,6,FALSE),0)</f>
        <v>0</v>
      </c>
      <c r="L151" s="263">
        <f>IFERROR(VLOOKUP(A151,Cargas!$B$3:$I$93,7,FALSE),0)</f>
        <v>0</v>
      </c>
      <c r="M151" s="77"/>
      <c r="AB151" s="123">
        <f t="shared" si="8"/>
        <v>0</v>
      </c>
      <c r="AC151" s="123">
        <f t="shared" si="8"/>
        <v>0</v>
      </c>
      <c r="AD151" s="123">
        <f t="shared" si="8"/>
        <v>0</v>
      </c>
      <c r="AE151" s="123">
        <f t="shared" si="7"/>
        <v>0</v>
      </c>
      <c r="AF151" s="123">
        <f t="shared" si="7"/>
        <v>0</v>
      </c>
      <c r="AG151" s="123">
        <f t="shared" si="7"/>
        <v>0</v>
      </c>
      <c r="AH151" s="122">
        <f t="shared" si="9"/>
        <v>0</v>
      </c>
    </row>
    <row r="152" spans="1:34" s="75" customFormat="1" ht="15.75">
      <c r="A152" s="125">
        <v>154</v>
      </c>
      <c r="B152" s="73"/>
      <c r="C152" s="126" t="s">
        <v>233</v>
      </c>
      <c r="D152" s="272"/>
      <c r="E152" s="263">
        <f t="shared" si="10"/>
        <v>0</v>
      </c>
      <c r="F152" s="263"/>
      <c r="G152" s="263"/>
      <c r="H152" s="263">
        <f>IFERROR(VLOOKUP(A152,Cargas!$B$3:$I$93,3,FALSE),0)</f>
        <v>0</v>
      </c>
      <c r="I152" s="263">
        <f>IFERROR(VLOOKUP(A152,Cargas!$B$3:$I$93,4,FALSE),0)</f>
        <v>0</v>
      </c>
      <c r="J152" s="263">
        <f>IFERROR(VLOOKUP(A152,Cargas!$B$3:$I$93,5,FALSE),0)</f>
        <v>0</v>
      </c>
      <c r="K152" s="263">
        <f>IFERROR(VLOOKUP(A152,Cargas!$B$3:$I$93,6,FALSE),0)</f>
        <v>0</v>
      </c>
      <c r="L152" s="263">
        <f>IFERROR(VLOOKUP(A152,Cargas!$B$3:$I$93,7,FALSE),0)</f>
        <v>0</v>
      </c>
      <c r="AB152" s="123">
        <f t="shared" si="8"/>
        <v>0</v>
      </c>
      <c r="AC152" s="123">
        <f t="shared" si="8"/>
        <v>0</v>
      </c>
      <c r="AD152" s="123">
        <f t="shared" si="8"/>
        <v>0</v>
      </c>
      <c r="AE152" s="123">
        <f t="shared" si="7"/>
        <v>0</v>
      </c>
      <c r="AF152" s="123">
        <f t="shared" si="7"/>
        <v>0</v>
      </c>
      <c r="AG152" s="123">
        <f t="shared" si="7"/>
        <v>0</v>
      </c>
      <c r="AH152" s="122">
        <f t="shared" si="9"/>
        <v>0</v>
      </c>
    </row>
    <row r="153" spans="1:34" s="75" customFormat="1" ht="15.75">
      <c r="A153" s="125">
        <v>155</v>
      </c>
      <c r="B153" s="73"/>
      <c r="C153" s="126" t="s">
        <v>234</v>
      </c>
      <c r="D153" s="272"/>
      <c r="E153" s="263">
        <f t="shared" si="10"/>
        <v>0</v>
      </c>
      <c r="F153" s="263"/>
      <c r="G153" s="263"/>
      <c r="H153" s="263">
        <f>IFERROR(VLOOKUP(A153,Cargas!$B$3:$I$93,3,FALSE),0)</f>
        <v>0</v>
      </c>
      <c r="I153" s="263">
        <f>IFERROR(VLOOKUP(A153,Cargas!$B$3:$I$93,4,FALSE),0)</f>
        <v>0</v>
      </c>
      <c r="J153" s="263">
        <f>IFERROR(VLOOKUP(A153,Cargas!$B$3:$I$93,5,FALSE),0)</f>
        <v>0</v>
      </c>
      <c r="K153" s="263">
        <f>IFERROR(VLOOKUP(A153,Cargas!$B$3:$I$93,6,FALSE),0)</f>
        <v>0</v>
      </c>
      <c r="L153" s="263">
        <f>IFERROR(VLOOKUP(A153,Cargas!$B$3:$I$93,7,FALSE),0)</f>
        <v>0</v>
      </c>
      <c r="AB153" s="123">
        <f t="shared" si="8"/>
        <v>0</v>
      </c>
      <c r="AC153" s="123">
        <f t="shared" si="8"/>
        <v>0</v>
      </c>
      <c r="AD153" s="123">
        <f t="shared" si="8"/>
        <v>0</v>
      </c>
      <c r="AE153" s="123">
        <f t="shared" si="7"/>
        <v>0</v>
      </c>
      <c r="AF153" s="123">
        <f t="shared" si="7"/>
        <v>0</v>
      </c>
      <c r="AG153" s="123">
        <f t="shared" si="7"/>
        <v>0</v>
      </c>
      <c r="AH153" s="122">
        <f t="shared" si="9"/>
        <v>0</v>
      </c>
    </row>
    <row r="154" spans="1:34" s="74" customFormat="1" ht="15.75">
      <c r="A154" s="125">
        <v>156</v>
      </c>
      <c r="B154" s="73"/>
      <c r="C154" s="127" t="s">
        <v>95</v>
      </c>
      <c r="D154" s="273"/>
      <c r="E154" s="263">
        <f t="shared" si="10"/>
        <v>0</v>
      </c>
      <c r="F154" s="263"/>
      <c r="G154" s="263"/>
      <c r="H154" s="263">
        <f>IFERROR(VLOOKUP(A154,Cargas!$B$3:$I$93,3,FALSE),0)</f>
        <v>0</v>
      </c>
      <c r="I154" s="263">
        <f>IFERROR(VLOOKUP(A154,Cargas!$B$3:$I$93,4,FALSE),0)</f>
        <v>0</v>
      </c>
      <c r="J154" s="263">
        <f>IFERROR(VLOOKUP(A154,Cargas!$B$3:$I$93,5,FALSE),0)</f>
        <v>0</v>
      </c>
      <c r="K154" s="263">
        <f>IFERROR(VLOOKUP(A154,Cargas!$B$3:$I$93,6,FALSE),0)</f>
        <v>0</v>
      </c>
      <c r="L154" s="263">
        <f>IFERROR(VLOOKUP(A154,Cargas!$B$3:$I$93,7,FALSE),0)</f>
        <v>0</v>
      </c>
      <c r="AB154" s="123">
        <f t="shared" si="8"/>
        <v>0</v>
      </c>
      <c r="AC154" s="123">
        <f t="shared" si="8"/>
        <v>0</v>
      </c>
      <c r="AD154" s="123">
        <f t="shared" si="8"/>
        <v>0</v>
      </c>
      <c r="AE154" s="123">
        <f t="shared" si="7"/>
        <v>0</v>
      </c>
      <c r="AF154" s="123">
        <f t="shared" si="7"/>
        <v>0</v>
      </c>
      <c r="AG154" s="123">
        <f t="shared" si="7"/>
        <v>0</v>
      </c>
      <c r="AH154" s="122">
        <f t="shared" si="9"/>
        <v>0</v>
      </c>
    </row>
    <row r="155" spans="1:34" s="75" customFormat="1" ht="15.75">
      <c r="A155" s="125">
        <v>157</v>
      </c>
      <c r="B155" s="73"/>
      <c r="C155" s="126" t="s">
        <v>100</v>
      </c>
      <c r="D155" s="272"/>
      <c r="E155" s="263">
        <f t="shared" si="10"/>
        <v>0</v>
      </c>
      <c r="F155" s="263"/>
      <c r="G155" s="263"/>
      <c r="H155" s="263">
        <f>IFERROR(VLOOKUP(A155,Cargas!$B$3:$I$93,3,FALSE),0)</f>
        <v>0</v>
      </c>
      <c r="I155" s="263">
        <f>IFERROR(VLOOKUP(A155,Cargas!$B$3:$I$93,4,FALSE),0)</f>
        <v>0</v>
      </c>
      <c r="J155" s="263">
        <f>IFERROR(VLOOKUP(A155,Cargas!$B$3:$I$93,5,FALSE),0)</f>
        <v>0</v>
      </c>
      <c r="K155" s="263">
        <f>IFERROR(VLOOKUP(A155,Cargas!$B$3:$I$93,6,FALSE),0)</f>
        <v>0</v>
      </c>
      <c r="L155" s="263">
        <f>IFERROR(VLOOKUP(A155,Cargas!$B$3:$I$93,7,FALSE),0)</f>
        <v>0</v>
      </c>
      <c r="AB155" s="123">
        <f t="shared" si="8"/>
        <v>0</v>
      </c>
      <c r="AC155" s="123">
        <f t="shared" si="8"/>
        <v>0</v>
      </c>
      <c r="AD155" s="123">
        <f t="shared" si="8"/>
        <v>0</v>
      </c>
      <c r="AE155" s="123">
        <f t="shared" si="7"/>
        <v>0</v>
      </c>
      <c r="AF155" s="123">
        <f t="shared" si="7"/>
        <v>0</v>
      </c>
      <c r="AG155" s="123">
        <f t="shared" si="7"/>
        <v>0</v>
      </c>
      <c r="AH155" s="122">
        <f t="shared" si="9"/>
        <v>0</v>
      </c>
    </row>
    <row r="156" spans="1:34" s="75" customFormat="1" ht="15.75">
      <c r="A156" s="125">
        <v>160</v>
      </c>
      <c r="B156" s="73"/>
      <c r="C156" s="126" t="s">
        <v>184</v>
      </c>
      <c r="D156" s="272"/>
      <c r="E156" s="263">
        <f t="shared" si="10"/>
        <v>0</v>
      </c>
      <c r="F156" s="263"/>
      <c r="G156" s="263"/>
      <c r="H156" s="263">
        <f>IFERROR(VLOOKUP(A156,Cargas!$B$3:$I$93,3,FALSE),0)</f>
        <v>0</v>
      </c>
      <c r="I156" s="263">
        <f>IFERROR(VLOOKUP(A156,Cargas!$B$3:$I$93,4,FALSE),0)</f>
        <v>0</v>
      </c>
      <c r="J156" s="263">
        <f>IFERROR(VLOOKUP(A156,Cargas!$B$3:$I$93,5,FALSE),0)</f>
        <v>0</v>
      </c>
      <c r="K156" s="263">
        <f>IFERROR(VLOOKUP(A156,Cargas!$B$3:$I$93,6,FALSE),0)</f>
        <v>0</v>
      </c>
      <c r="L156" s="263">
        <f>IFERROR(VLOOKUP(A156,Cargas!$B$3:$I$93,7,FALSE),0)</f>
        <v>0</v>
      </c>
      <c r="AB156" s="123">
        <f t="shared" si="8"/>
        <v>0</v>
      </c>
      <c r="AC156" s="123">
        <f t="shared" si="8"/>
        <v>0</v>
      </c>
      <c r="AD156" s="123">
        <f t="shared" si="8"/>
        <v>0</v>
      </c>
      <c r="AE156" s="123">
        <f t="shared" si="7"/>
        <v>0</v>
      </c>
      <c r="AF156" s="123">
        <f t="shared" si="7"/>
        <v>0</v>
      </c>
      <c r="AG156" s="123">
        <f t="shared" si="7"/>
        <v>0</v>
      </c>
      <c r="AH156" s="122">
        <f t="shared" si="9"/>
        <v>0</v>
      </c>
    </row>
    <row r="157" spans="1:34" s="74" customFormat="1" ht="15.75">
      <c r="A157" s="125">
        <v>161</v>
      </c>
      <c r="B157" s="73"/>
      <c r="C157" s="126" t="s">
        <v>106</v>
      </c>
      <c r="D157" s="272"/>
      <c r="E157" s="263">
        <f t="shared" si="10"/>
        <v>0</v>
      </c>
      <c r="F157" s="263"/>
      <c r="G157" s="263"/>
      <c r="H157" s="263">
        <f>IFERROR(VLOOKUP(A157,Cargas!$B$3:$I$93,3,FALSE),0)</f>
        <v>0</v>
      </c>
      <c r="I157" s="263">
        <f>IFERROR(VLOOKUP(A157,Cargas!$B$3:$I$93,4,FALSE),0)</f>
        <v>0</v>
      </c>
      <c r="J157" s="263">
        <f>IFERROR(VLOOKUP(A157,Cargas!$B$3:$I$93,5,FALSE),0)</f>
        <v>0</v>
      </c>
      <c r="K157" s="263">
        <f>IFERROR(VLOOKUP(A157,Cargas!$B$3:$I$93,6,FALSE),0)</f>
        <v>0</v>
      </c>
      <c r="L157" s="263">
        <f>IFERROR(VLOOKUP(A157,Cargas!$B$3:$I$93,7,FALSE),0)</f>
        <v>0</v>
      </c>
      <c r="AB157" s="123">
        <f t="shared" si="8"/>
        <v>0</v>
      </c>
      <c r="AC157" s="123">
        <f t="shared" si="8"/>
        <v>0</v>
      </c>
      <c r="AD157" s="123">
        <f t="shared" si="8"/>
        <v>0</v>
      </c>
      <c r="AE157" s="123">
        <f t="shared" si="7"/>
        <v>0</v>
      </c>
      <c r="AF157" s="123">
        <f t="shared" si="7"/>
        <v>0</v>
      </c>
      <c r="AG157" s="123">
        <f t="shared" si="7"/>
        <v>0</v>
      </c>
      <c r="AH157" s="122">
        <f t="shared" si="9"/>
        <v>0</v>
      </c>
    </row>
    <row r="158" spans="1:34" s="75" customFormat="1" ht="15.75">
      <c r="A158" s="125">
        <v>162</v>
      </c>
      <c r="B158" s="73"/>
      <c r="C158" s="127" t="s">
        <v>96</v>
      </c>
      <c r="D158" s="273"/>
      <c r="E158" s="263">
        <f t="shared" si="10"/>
        <v>0</v>
      </c>
      <c r="F158" s="263"/>
      <c r="G158" s="263"/>
      <c r="H158" s="263">
        <f>IFERROR(VLOOKUP(A158,Cargas!$B$3:$I$93,3,FALSE),0)</f>
        <v>0</v>
      </c>
      <c r="I158" s="263">
        <f>IFERROR(VLOOKUP(A158,Cargas!$B$3:$I$93,4,FALSE),0)</f>
        <v>0</v>
      </c>
      <c r="J158" s="263">
        <f>IFERROR(VLOOKUP(A158,Cargas!$B$3:$I$93,5,FALSE),0)</f>
        <v>0</v>
      </c>
      <c r="K158" s="263">
        <f>IFERROR(VLOOKUP(A158,Cargas!$B$3:$I$93,6,FALSE),0)</f>
        <v>0</v>
      </c>
      <c r="L158" s="263">
        <f>IFERROR(VLOOKUP(A158,Cargas!$B$3:$I$93,7,FALSE),0)</f>
        <v>0</v>
      </c>
      <c r="AB158" s="123">
        <f t="shared" si="8"/>
        <v>0</v>
      </c>
      <c r="AC158" s="123">
        <f t="shared" si="8"/>
        <v>0</v>
      </c>
      <c r="AD158" s="123">
        <f t="shared" si="8"/>
        <v>0</v>
      </c>
      <c r="AE158" s="123">
        <f t="shared" si="7"/>
        <v>0</v>
      </c>
      <c r="AF158" s="123">
        <f t="shared" si="7"/>
        <v>0</v>
      </c>
      <c r="AG158" s="123">
        <f t="shared" si="7"/>
        <v>0</v>
      </c>
      <c r="AH158" s="122">
        <f t="shared" si="9"/>
        <v>0</v>
      </c>
    </row>
    <row r="159" spans="1:34" s="75" customFormat="1" ht="15.75">
      <c r="A159" s="125">
        <v>163</v>
      </c>
      <c r="B159" s="73"/>
      <c r="C159" s="126" t="s">
        <v>97</v>
      </c>
      <c r="D159" s="272"/>
      <c r="E159" s="263">
        <f t="shared" si="10"/>
        <v>0</v>
      </c>
      <c r="F159" s="263"/>
      <c r="G159" s="263"/>
      <c r="H159" s="263">
        <f>IFERROR(VLOOKUP(A159,Cargas!$B$3:$I$93,3,FALSE),0)</f>
        <v>0</v>
      </c>
      <c r="I159" s="263">
        <f>IFERROR(VLOOKUP(A159,Cargas!$B$3:$I$93,4,FALSE),0)</f>
        <v>0</v>
      </c>
      <c r="J159" s="263">
        <f>IFERROR(VLOOKUP(A159,Cargas!$B$3:$I$93,5,FALSE),0)</f>
        <v>0</v>
      </c>
      <c r="K159" s="263">
        <f>IFERROR(VLOOKUP(A159,Cargas!$B$3:$I$93,6,FALSE),0)</f>
        <v>0</v>
      </c>
      <c r="L159" s="263">
        <f>IFERROR(VLOOKUP(A159,Cargas!$B$3:$I$93,7,FALSE),0)</f>
        <v>0</v>
      </c>
      <c r="AB159" s="123">
        <f t="shared" si="8"/>
        <v>0</v>
      </c>
      <c r="AC159" s="123">
        <f t="shared" si="8"/>
        <v>0</v>
      </c>
      <c r="AD159" s="123">
        <f t="shared" si="8"/>
        <v>0</v>
      </c>
      <c r="AE159" s="123">
        <f t="shared" si="7"/>
        <v>0</v>
      </c>
      <c r="AF159" s="123">
        <f t="shared" si="7"/>
        <v>0</v>
      </c>
      <c r="AG159" s="123">
        <f t="shared" si="7"/>
        <v>0</v>
      </c>
      <c r="AH159" s="122">
        <f t="shared" si="9"/>
        <v>0</v>
      </c>
    </row>
    <row r="160" spans="1:34" s="74" customFormat="1" ht="15.75">
      <c r="A160" s="125">
        <v>164</v>
      </c>
      <c r="B160" s="73"/>
      <c r="C160" s="126" t="s">
        <v>98</v>
      </c>
      <c r="D160" s="272"/>
      <c r="E160" s="263">
        <f t="shared" si="10"/>
        <v>0</v>
      </c>
      <c r="F160" s="263"/>
      <c r="G160" s="263"/>
      <c r="H160" s="263">
        <f>IFERROR(VLOOKUP(A160,Cargas!$B$3:$I$93,3,FALSE),0)</f>
        <v>0</v>
      </c>
      <c r="I160" s="263">
        <f>IFERROR(VLOOKUP(A160,Cargas!$B$3:$I$93,4,FALSE),0)</f>
        <v>0</v>
      </c>
      <c r="J160" s="263">
        <f>IFERROR(VLOOKUP(A160,Cargas!$B$3:$I$93,5,FALSE),0)</f>
        <v>0</v>
      </c>
      <c r="K160" s="263">
        <f>IFERROR(VLOOKUP(A160,Cargas!$B$3:$I$93,6,FALSE),0)</f>
        <v>0</v>
      </c>
      <c r="L160" s="263">
        <f>IFERROR(VLOOKUP(A160,Cargas!$B$3:$I$93,7,FALSE),0)</f>
        <v>0</v>
      </c>
      <c r="AB160" s="123">
        <f t="shared" si="8"/>
        <v>0</v>
      </c>
      <c r="AC160" s="123">
        <f t="shared" si="8"/>
        <v>0</v>
      </c>
      <c r="AD160" s="123">
        <f t="shared" si="8"/>
        <v>0</v>
      </c>
      <c r="AE160" s="123">
        <f t="shared" si="7"/>
        <v>0</v>
      </c>
      <c r="AF160" s="123">
        <f t="shared" si="7"/>
        <v>0</v>
      </c>
      <c r="AG160" s="123">
        <f t="shared" si="7"/>
        <v>0</v>
      </c>
      <c r="AH160" s="122">
        <f t="shared" si="9"/>
        <v>0</v>
      </c>
    </row>
    <row r="161" spans="1:34" s="75" customFormat="1" ht="15.75">
      <c r="A161" s="125">
        <v>165</v>
      </c>
      <c r="B161" s="73"/>
      <c r="C161" s="126" t="s">
        <v>113</v>
      </c>
      <c r="D161" s="272"/>
      <c r="E161" s="263">
        <f t="shared" si="10"/>
        <v>0</v>
      </c>
      <c r="F161" s="263"/>
      <c r="G161" s="263"/>
      <c r="H161" s="263">
        <f>IFERROR(VLOOKUP(A161,Cargas!$B$3:$I$93,3,FALSE),0)</f>
        <v>0</v>
      </c>
      <c r="I161" s="263">
        <f>IFERROR(VLOOKUP(A161,Cargas!$B$3:$I$93,4,FALSE),0)</f>
        <v>0</v>
      </c>
      <c r="J161" s="263">
        <f>IFERROR(VLOOKUP(A161,Cargas!$B$3:$I$93,5,FALSE),0)</f>
        <v>0</v>
      </c>
      <c r="K161" s="263">
        <f>IFERROR(VLOOKUP(A161,Cargas!$B$3:$I$93,6,FALSE),0)</f>
        <v>0</v>
      </c>
      <c r="L161" s="263">
        <f>IFERROR(VLOOKUP(A161,Cargas!$B$3:$I$93,7,FALSE),0)</f>
        <v>0</v>
      </c>
      <c r="AB161" s="123">
        <f t="shared" si="8"/>
        <v>0</v>
      </c>
      <c r="AC161" s="123">
        <f t="shared" si="8"/>
        <v>0</v>
      </c>
      <c r="AD161" s="123">
        <f t="shared" si="8"/>
        <v>0</v>
      </c>
      <c r="AE161" s="123">
        <f t="shared" si="7"/>
        <v>0</v>
      </c>
      <c r="AF161" s="123">
        <f t="shared" si="7"/>
        <v>0</v>
      </c>
      <c r="AG161" s="123">
        <f t="shared" si="7"/>
        <v>0</v>
      </c>
      <c r="AH161" s="122">
        <f t="shared" si="9"/>
        <v>0</v>
      </c>
    </row>
    <row r="162" spans="1:34" s="75" customFormat="1" ht="15.75">
      <c r="A162" s="125">
        <v>166</v>
      </c>
      <c r="B162" s="73"/>
      <c r="C162" s="126" t="s">
        <v>235</v>
      </c>
      <c r="D162" s="272"/>
      <c r="E162" s="263">
        <f t="shared" si="10"/>
        <v>0</v>
      </c>
      <c r="F162" s="263"/>
      <c r="G162" s="263"/>
      <c r="H162" s="263">
        <f>IFERROR(VLOOKUP(A162,Cargas!$B$3:$I$93,3,FALSE),0)</f>
        <v>0</v>
      </c>
      <c r="I162" s="263">
        <f>IFERROR(VLOOKUP(A162,Cargas!$B$3:$I$93,4,FALSE),0)</f>
        <v>0</v>
      </c>
      <c r="J162" s="263">
        <f>IFERROR(VLOOKUP(A162,Cargas!$B$3:$I$93,5,FALSE),0)</f>
        <v>0</v>
      </c>
      <c r="K162" s="263">
        <f>IFERROR(VLOOKUP(A162,Cargas!$B$3:$I$93,6,FALSE),0)</f>
        <v>0</v>
      </c>
      <c r="L162" s="263">
        <f>IFERROR(VLOOKUP(A162,Cargas!$B$3:$I$93,7,FALSE),0)</f>
        <v>0</v>
      </c>
      <c r="AB162" s="123">
        <f t="shared" si="8"/>
        <v>0</v>
      </c>
      <c r="AC162" s="123">
        <f t="shared" si="8"/>
        <v>0</v>
      </c>
      <c r="AD162" s="123">
        <f t="shared" si="8"/>
        <v>0</v>
      </c>
      <c r="AE162" s="123">
        <f t="shared" si="7"/>
        <v>0</v>
      </c>
      <c r="AF162" s="123">
        <f t="shared" si="7"/>
        <v>0</v>
      </c>
      <c r="AG162" s="123">
        <f t="shared" si="7"/>
        <v>0</v>
      </c>
      <c r="AH162" s="122">
        <f t="shared" si="9"/>
        <v>0</v>
      </c>
    </row>
    <row r="163" spans="1:34" s="74" customFormat="1" ht="15.75">
      <c r="A163" s="125">
        <v>167</v>
      </c>
      <c r="B163" s="73"/>
      <c r="C163" s="126" t="s">
        <v>236</v>
      </c>
      <c r="D163" s="272"/>
      <c r="E163" s="263">
        <f t="shared" si="10"/>
        <v>0</v>
      </c>
      <c r="F163" s="263"/>
      <c r="G163" s="263"/>
      <c r="H163" s="263">
        <f>IFERROR(VLOOKUP(A163,Cargas!$B$3:$I$93,3,FALSE),0)</f>
        <v>0</v>
      </c>
      <c r="I163" s="263">
        <f>IFERROR(VLOOKUP(A163,Cargas!$B$3:$I$93,4,FALSE),0)</f>
        <v>0</v>
      </c>
      <c r="J163" s="263">
        <f>IFERROR(VLOOKUP(A163,Cargas!$B$3:$I$93,5,FALSE),0)</f>
        <v>0</v>
      </c>
      <c r="K163" s="263">
        <f>IFERROR(VLOOKUP(A163,Cargas!$B$3:$I$93,6,FALSE),0)</f>
        <v>0</v>
      </c>
      <c r="L163" s="263">
        <f>IFERROR(VLOOKUP(A163,Cargas!$B$3:$I$93,7,FALSE),0)</f>
        <v>0</v>
      </c>
      <c r="AB163" s="123">
        <f t="shared" si="8"/>
        <v>0</v>
      </c>
      <c r="AC163" s="123">
        <f t="shared" si="8"/>
        <v>0</v>
      </c>
      <c r="AD163" s="123">
        <f t="shared" si="8"/>
        <v>0</v>
      </c>
      <c r="AE163" s="123">
        <f t="shared" si="7"/>
        <v>0</v>
      </c>
      <c r="AF163" s="123">
        <f t="shared" si="7"/>
        <v>0</v>
      </c>
      <c r="AG163" s="123">
        <f t="shared" si="7"/>
        <v>0</v>
      </c>
      <c r="AH163" s="122">
        <f t="shared" si="9"/>
        <v>0</v>
      </c>
    </row>
    <row r="164" spans="1:34" s="75" customFormat="1" ht="15.75">
      <c r="A164" s="125">
        <v>168</v>
      </c>
      <c r="B164" s="73"/>
      <c r="C164" s="126" t="s">
        <v>99</v>
      </c>
      <c r="D164" s="272"/>
      <c r="E164" s="263">
        <f t="shared" si="10"/>
        <v>0</v>
      </c>
      <c r="F164" s="263"/>
      <c r="G164" s="263"/>
      <c r="H164" s="263">
        <f>IFERROR(VLOOKUP(A164,Cargas!$B$3:$I$93,3,FALSE),0)</f>
        <v>0</v>
      </c>
      <c r="I164" s="263">
        <f>IFERROR(VLOOKUP(A164,Cargas!$B$3:$I$93,4,FALSE),0)</f>
        <v>0</v>
      </c>
      <c r="J164" s="263">
        <f>IFERROR(VLOOKUP(A164,Cargas!$B$3:$I$93,5,FALSE),0)</f>
        <v>0</v>
      </c>
      <c r="K164" s="263">
        <f>IFERROR(VLOOKUP(A164,Cargas!$B$3:$I$93,6,FALSE),0)</f>
        <v>0</v>
      </c>
      <c r="L164" s="263">
        <f>IFERROR(VLOOKUP(A164,Cargas!$B$3:$I$93,7,FALSE),0)</f>
        <v>0</v>
      </c>
      <c r="AB164" s="123">
        <f t="shared" si="8"/>
        <v>0</v>
      </c>
      <c r="AC164" s="123">
        <f t="shared" si="8"/>
        <v>0</v>
      </c>
      <c r="AD164" s="123">
        <f t="shared" si="8"/>
        <v>0</v>
      </c>
      <c r="AE164" s="123">
        <f t="shared" si="7"/>
        <v>0</v>
      </c>
      <c r="AF164" s="123">
        <f t="shared" si="7"/>
        <v>0</v>
      </c>
      <c r="AG164" s="123">
        <f t="shared" si="7"/>
        <v>0</v>
      </c>
      <c r="AH164" s="122">
        <f t="shared" si="9"/>
        <v>0</v>
      </c>
    </row>
    <row r="165" spans="1:34" s="75" customFormat="1" ht="15.75">
      <c r="A165" s="125">
        <v>169</v>
      </c>
      <c r="B165" s="73"/>
      <c r="C165" s="127" t="s">
        <v>135</v>
      </c>
      <c r="D165" s="273"/>
      <c r="E165" s="263">
        <f t="shared" si="10"/>
        <v>0</v>
      </c>
      <c r="F165" s="263"/>
      <c r="G165" s="263"/>
      <c r="H165" s="263">
        <f>IFERROR(VLOOKUP(A165,Cargas!$B$3:$I$93,3,FALSE),0)</f>
        <v>0</v>
      </c>
      <c r="I165" s="263">
        <f>IFERROR(VLOOKUP(A165,Cargas!$B$3:$I$93,4,FALSE),0)</f>
        <v>0</v>
      </c>
      <c r="J165" s="263">
        <f>IFERROR(VLOOKUP(A165,Cargas!$B$3:$I$93,5,FALSE),0)</f>
        <v>0</v>
      </c>
      <c r="K165" s="263">
        <f>IFERROR(VLOOKUP(A165,Cargas!$B$3:$I$93,6,FALSE),0)</f>
        <v>0</v>
      </c>
      <c r="L165" s="263">
        <f>IFERROR(VLOOKUP(A165,Cargas!$B$3:$I$93,7,FALSE),0)</f>
        <v>0</v>
      </c>
      <c r="AB165" s="123">
        <f t="shared" si="8"/>
        <v>0</v>
      </c>
      <c r="AC165" s="123">
        <f t="shared" si="8"/>
        <v>0</v>
      </c>
      <c r="AD165" s="123">
        <f t="shared" si="8"/>
        <v>0</v>
      </c>
      <c r="AE165" s="123">
        <f t="shared" si="7"/>
        <v>0</v>
      </c>
      <c r="AF165" s="123">
        <f t="shared" si="7"/>
        <v>0</v>
      </c>
      <c r="AG165" s="123">
        <f t="shared" si="7"/>
        <v>0</v>
      </c>
      <c r="AH165" s="122">
        <f t="shared" si="9"/>
        <v>0</v>
      </c>
    </row>
    <row r="166" spans="1:34" s="74" customFormat="1" ht="15.75">
      <c r="A166" s="125">
        <v>170</v>
      </c>
      <c r="B166" s="73"/>
      <c r="C166" s="126" t="s">
        <v>185</v>
      </c>
      <c r="D166" s="272"/>
      <c r="E166" s="263">
        <f t="shared" si="10"/>
        <v>0</v>
      </c>
      <c r="F166" s="263"/>
      <c r="G166" s="263"/>
      <c r="H166" s="263">
        <f>IFERROR(VLOOKUP(A166,Cargas!$B$3:$I$93,3,FALSE),0)</f>
        <v>0</v>
      </c>
      <c r="I166" s="263">
        <f>IFERROR(VLOOKUP(A166,Cargas!$B$3:$I$93,4,FALSE),0)</f>
        <v>0</v>
      </c>
      <c r="J166" s="263">
        <f>IFERROR(VLOOKUP(A166,Cargas!$B$3:$I$93,5,FALSE),0)</f>
        <v>0</v>
      </c>
      <c r="K166" s="263">
        <f>IFERROR(VLOOKUP(A166,Cargas!$B$3:$I$93,6,FALSE),0)</f>
        <v>0</v>
      </c>
      <c r="L166" s="263">
        <f>IFERROR(VLOOKUP(A166,Cargas!$B$3:$I$93,7,FALSE),0)</f>
        <v>0</v>
      </c>
      <c r="AB166" s="123">
        <f t="shared" si="8"/>
        <v>0</v>
      </c>
      <c r="AC166" s="123">
        <f t="shared" si="8"/>
        <v>0</v>
      </c>
      <c r="AD166" s="123">
        <f t="shared" si="8"/>
        <v>0</v>
      </c>
      <c r="AE166" s="123">
        <f t="shared" si="7"/>
        <v>0</v>
      </c>
      <c r="AF166" s="123">
        <f t="shared" si="7"/>
        <v>0</v>
      </c>
      <c r="AG166" s="123">
        <f t="shared" si="7"/>
        <v>0</v>
      </c>
      <c r="AH166" s="122">
        <f t="shared" si="9"/>
        <v>0</v>
      </c>
    </row>
    <row r="167" spans="1:34" s="75" customFormat="1" ht="15.75">
      <c r="A167" s="125">
        <v>171</v>
      </c>
      <c r="B167" s="73"/>
      <c r="C167" s="126" t="s">
        <v>136</v>
      </c>
      <c r="D167" s="272"/>
      <c r="E167" s="263">
        <f t="shared" si="10"/>
        <v>0</v>
      </c>
      <c r="F167" s="263"/>
      <c r="G167" s="263"/>
      <c r="H167" s="263">
        <f>IFERROR(VLOOKUP(A167,Cargas!$B$3:$I$93,3,FALSE),0)</f>
        <v>0</v>
      </c>
      <c r="I167" s="263">
        <f>IFERROR(VLOOKUP(A167,Cargas!$B$3:$I$93,4,FALSE),0)</f>
        <v>0</v>
      </c>
      <c r="J167" s="263">
        <f>IFERROR(VLOOKUP(A167,Cargas!$B$3:$I$93,5,FALSE),0)</f>
        <v>0</v>
      </c>
      <c r="K167" s="263">
        <f>IFERROR(VLOOKUP(A167,Cargas!$B$3:$I$93,6,FALSE),0)</f>
        <v>0</v>
      </c>
      <c r="L167" s="263">
        <f>IFERROR(VLOOKUP(A167,Cargas!$B$3:$I$93,7,FALSE),0)</f>
        <v>0</v>
      </c>
      <c r="AB167" s="123">
        <f t="shared" si="8"/>
        <v>0</v>
      </c>
      <c r="AC167" s="123">
        <f t="shared" si="8"/>
        <v>0</v>
      </c>
      <c r="AD167" s="123">
        <f t="shared" si="8"/>
        <v>0</v>
      </c>
      <c r="AE167" s="123">
        <f t="shared" si="7"/>
        <v>0</v>
      </c>
      <c r="AF167" s="123">
        <f t="shared" si="7"/>
        <v>0</v>
      </c>
      <c r="AG167" s="123">
        <f t="shared" si="7"/>
        <v>0</v>
      </c>
      <c r="AH167" s="122">
        <f t="shared" si="9"/>
        <v>0</v>
      </c>
    </row>
    <row r="168" spans="1:34" s="75" customFormat="1" ht="15.75">
      <c r="A168" s="125">
        <v>172</v>
      </c>
      <c r="B168" s="73"/>
      <c r="C168" s="126" t="s">
        <v>114</v>
      </c>
      <c r="D168" s="272"/>
      <c r="E168" s="263">
        <f t="shared" si="10"/>
        <v>0</v>
      </c>
      <c r="F168" s="263"/>
      <c r="G168" s="263"/>
      <c r="H168" s="263">
        <f>IFERROR(VLOOKUP(A168,Cargas!$B$3:$I$93,3,FALSE),0)</f>
        <v>0</v>
      </c>
      <c r="I168" s="263">
        <f>IFERROR(VLOOKUP(A168,Cargas!$B$3:$I$93,4,FALSE),0)</f>
        <v>0</v>
      </c>
      <c r="J168" s="263">
        <f>IFERROR(VLOOKUP(A168,Cargas!$B$3:$I$93,5,FALSE),0)</f>
        <v>0</v>
      </c>
      <c r="K168" s="263">
        <f>IFERROR(VLOOKUP(A168,Cargas!$B$3:$I$93,6,FALSE),0)</f>
        <v>0</v>
      </c>
      <c r="L168" s="263">
        <f>IFERROR(VLOOKUP(A168,Cargas!$B$3:$I$93,7,FALSE),0)</f>
        <v>0</v>
      </c>
      <c r="AB168" s="123">
        <f t="shared" si="8"/>
        <v>0</v>
      </c>
      <c r="AC168" s="123">
        <f t="shared" si="8"/>
        <v>0</v>
      </c>
      <c r="AD168" s="123">
        <f t="shared" si="8"/>
        <v>0</v>
      </c>
      <c r="AE168" s="123">
        <f t="shared" si="7"/>
        <v>0</v>
      </c>
      <c r="AF168" s="123">
        <f t="shared" si="7"/>
        <v>0</v>
      </c>
      <c r="AG168" s="123">
        <f t="shared" si="7"/>
        <v>0</v>
      </c>
      <c r="AH168" s="122">
        <f t="shared" si="9"/>
        <v>0</v>
      </c>
    </row>
    <row r="169" spans="1:34" s="74" customFormat="1" ht="15.75">
      <c r="A169" s="125">
        <v>173</v>
      </c>
      <c r="B169" s="73"/>
      <c r="C169" s="127" t="s">
        <v>115</v>
      </c>
      <c r="D169" s="273"/>
      <c r="E169" s="263">
        <f t="shared" si="10"/>
        <v>0</v>
      </c>
      <c r="F169" s="263"/>
      <c r="G169" s="263"/>
      <c r="H169" s="263">
        <f>IFERROR(VLOOKUP(A169,Cargas!$B$3:$I$93,3,FALSE),0)</f>
        <v>0</v>
      </c>
      <c r="I169" s="263">
        <f>IFERROR(VLOOKUP(A169,Cargas!$B$3:$I$93,4,FALSE),0)</f>
        <v>0</v>
      </c>
      <c r="J169" s="263">
        <f>IFERROR(VLOOKUP(A169,Cargas!$B$3:$I$93,5,FALSE),0)</f>
        <v>0</v>
      </c>
      <c r="K169" s="263">
        <f>IFERROR(VLOOKUP(A169,Cargas!$B$3:$I$93,6,FALSE),0)</f>
        <v>0</v>
      </c>
      <c r="L169" s="263">
        <f>IFERROR(VLOOKUP(A169,Cargas!$B$3:$I$93,7,FALSE),0)</f>
        <v>0</v>
      </c>
      <c r="AB169" s="123">
        <f t="shared" si="8"/>
        <v>0</v>
      </c>
      <c r="AC169" s="123">
        <f t="shared" si="8"/>
        <v>0</v>
      </c>
      <c r="AD169" s="123">
        <f t="shared" si="8"/>
        <v>0</v>
      </c>
      <c r="AE169" s="123">
        <f t="shared" si="7"/>
        <v>0</v>
      </c>
      <c r="AF169" s="123">
        <f t="shared" si="7"/>
        <v>0</v>
      </c>
      <c r="AG169" s="123">
        <f t="shared" si="7"/>
        <v>0</v>
      </c>
      <c r="AH169" s="122">
        <f t="shared" si="9"/>
        <v>0</v>
      </c>
    </row>
    <row r="170" spans="1:34" s="75" customFormat="1" ht="15.75">
      <c r="A170" s="125">
        <v>174</v>
      </c>
      <c r="B170" s="73"/>
      <c r="C170" s="126" t="s">
        <v>116</v>
      </c>
      <c r="D170" s="272"/>
      <c r="E170" s="263">
        <f t="shared" si="10"/>
        <v>0</v>
      </c>
      <c r="F170" s="263"/>
      <c r="G170" s="263"/>
      <c r="H170" s="263">
        <f>IFERROR(VLOOKUP(A170,Cargas!$B$3:$I$93,3,FALSE),0)</f>
        <v>0</v>
      </c>
      <c r="I170" s="263">
        <f>IFERROR(VLOOKUP(A170,Cargas!$B$3:$I$93,4,FALSE),0)</f>
        <v>0</v>
      </c>
      <c r="J170" s="263">
        <f>IFERROR(VLOOKUP(A170,Cargas!$B$3:$I$93,5,FALSE),0)</f>
        <v>0</v>
      </c>
      <c r="K170" s="263">
        <f>IFERROR(VLOOKUP(A170,Cargas!$B$3:$I$93,6,FALSE),0)</f>
        <v>0</v>
      </c>
      <c r="L170" s="263">
        <f>IFERROR(VLOOKUP(A170,Cargas!$B$3:$I$93,7,FALSE),0)</f>
        <v>0</v>
      </c>
      <c r="AB170" s="123">
        <f t="shared" si="8"/>
        <v>0</v>
      </c>
      <c r="AC170" s="123">
        <f t="shared" si="8"/>
        <v>0</v>
      </c>
      <c r="AD170" s="123">
        <f t="shared" si="8"/>
        <v>0</v>
      </c>
      <c r="AE170" s="123">
        <f t="shared" si="7"/>
        <v>0</v>
      </c>
      <c r="AF170" s="123">
        <f t="shared" si="7"/>
        <v>0</v>
      </c>
      <c r="AG170" s="123">
        <f t="shared" si="7"/>
        <v>0</v>
      </c>
      <c r="AH170" s="122">
        <f t="shared" si="9"/>
        <v>0</v>
      </c>
    </row>
    <row r="171" spans="1:34" s="75" customFormat="1" ht="15.75">
      <c r="A171" s="125">
        <v>175</v>
      </c>
      <c r="B171" s="73"/>
      <c r="C171" s="126" t="s">
        <v>117</v>
      </c>
      <c r="D171" s="272"/>
      <c r="E171" s="263">
        <f t="shared" si="10"/>
        <v>0</v>
      </c>
      <c r="F171" s="263"/>
      <c r="G171" s="263"/>
      <c r="H171" s="263">
        <f>IFERROR(VLOOKUP(A171,Cargas!$B$3:$I$93,3,FALSE),0)</f>
        <v>0</v>
      </c>
      <c r="I171" s="263">
        <f>IFERROR(VLOOKUP(A171,Cargas!$B$3:$I$93,4,FALSE),0)</f>
        <v>0</v>
      </c>
      <c r="J171" s="263">
        <f>IFERROR(VLOOKUP(A171,Cargas!$B$3:$I$93,5,FALSE),0)</f>
        <v>0</v>
      </c>
      <c r="K171" s="263">
        <f>IFERROR(VLOOKUP(A171,Cargas!$B$3:$I$93,6,FALSE),0)</f>
        <v>0</v>
      </c>
      <c r="L171" s="263">
        <f>IFERROR(VLOOKUP(A171,Cargas!$B$3:$I$93,7,FALSE),0)</f>
        <v>0</v>
      </c>
      <c r="AB171" s="123">
        <f t="shared" si="8"/>
        <v>0</v>
      </c>
      <c r="AC171" s="123">
        <f t="shared" si="8"/>
        <v>0</v>
      </c>
      <c r="AD171" s="123">
        <f t="shared" si="8"/>
        <v>0</v>
      </c>
      <c r="AE171" s="123">
        <f t="shared" si="7"/>
        <v>0</v>
      </c>
      <c r="AF171" s="123">
        <f t="shared" si="7"/>
        <v>0</v>
      </c>
      <c r="AG171" s="123">
        <f t="shared" si="7"/>
        <v>0</v>
      </c>
      <c r="AH171" s="122">
        <f t="shared" si="9"/>
        <v>0</v>
      </c>
    </row>
    <row r="172" spans="1:34" s="74" customFormat="1" ht="15.75">
      <c r="A172" s="125">
        <v>176</v>
      </c>
      <c r="B172" s="73"/>
      <c r="C172" s="126" t="s">
        <v>104</v>
      </c>
      <c r="D172" s="272"/>
      <c r="E172" s="263">
        <f t="shared" si="10"/>
        <v>0</v>
      </c>
      <c r="F172" s="263"/>
      <c r="G172" s="263"/>
      <c r="H172" s="263">
        <f>IFERROR(VLOOKUP(A172,Cargas!$B$3:$I$93,3,FALSE),0)</f>
        <v>0</v>
      </c>
      <c r="I172" s="263">
        <f>IFERROR(VLOOKUP(A172,Cargas!$B$3:$I$93,4,FALSE),0)</f>
        <v>0</v>
      </c>
      <c r="J172" s="263">
        <f>IFERROR(VLOOKUP(A172,Cargas!$B$3:$I$93,5,FALSE),0)</f>
        <v>0</v>
      </c>
      <c r="K172" s="263">
        <f>IFERROR(VLOOKUP(A172,Cargas!$B$3:$I$93,6,FALSE),0)</f>
        <v>0</v>
      </c>
      <c r="L172" s="263">
        <f>IFERROR(VLOOKUP(A172,Cargas!$B$3:$I$93,7,FALSE),0)</f>
        <v>0</v>
      </c>
      <c r="AB172" s="123">
        <f t="shared" si="8"/>
        <v>0</v>
      </c>
      <c r="AC172" s="123">
        <f t="shared" si="8"/>
        <v>0</v>
      </c>
      <c r="AD172" s="123">
        <f t="shared" si="8"/>
        <v>0</v>
      </c>
      <c r="AE172" s="123">
        <f t="shared" si="7"/>
        <v>0</v>
      </c>
      <c r="AF172" s="123">
        <f t="shared" si="7"/>
        <v>0</v>
      </c>
      <c r="AG172" s="123">
        <f t="shared" si="7"/>
        <v>0</v>
      </c>
      <c r="AH172" s="122">
        <f t="shared" si="9"/>
        <v>0</v>
      </c>
    </row>
    <row r="173" spans="1:34" s="75" customFormat="1" ht="15.75">
      <c r="A173" s="125">
        <v>177</v>
      </c>
      <c r="B173" s="73"/>
      <c r="C173" s="126" t="s">
        <v>186</v>
      </c>
      <c r="D173" s="272"/>
      <c r="E173" s="263">
        <f t="shared" si="10"/>
        <v>0</v>
      </c>
      <c r="F173" s="263"/>
      <c r="G173" s="263"/>
      <c r="H173" s="263">
        <f>IFERROR(VLOOKUP(A173,Cargas!$B$3:$I$93,3,FALSE),0)</f>
        <v>0</v>
      </c>
      <c r="I173" s="263">
        <f>IFERROR(VLOOKUP(A173,Cargas!$B$3:$I$93,4,FALSE),0)</f>
        <v>0</v>
      </c>
      <c r="J173" s="263">
        <f>IFERROR(VLOOKUP(A173,Cargas!$B$3:$I$93,5,FALSE),0)</f>
        <v>0</v>
      </c>
      <c r="K173" s="263">
        <f>IFERROR(VLOOKUP(A173,Cargas!$B$3:$I$93,6,FALSE),0)</f>
        <v>0</v>
      </c>
      <c r="L173" s="263">
        <f>IFERROR(VLOOKUP(A173,Cargas!$B$3:$I$93,7,FALSE),0)</f>
        <v>0</v>
      </c>
      <c r="AB173" s="123">
        <f t="shared" si="8"/>
        <v>0</v>
      </c>
      <c r="AC173" s="123">
        <f t="shared" si="8"/>
        <v>0</v>
      </c>
      <c r="AD173" s="123">
        <f t="shared" si="8"/>
        <v>0</v>
      </c>
      <c r="AE173" s="123">
        <f t="shared" si="7"/>
        <v>0</v>
      </c>
      <c r="AF173" s="123">
        <f t="shared" si="7"/>
        <v>0</v>
      </c>
      <c r="AG173" s="123">
        <f t="shared" si="7"/>
        <v>0</v>
      </c>
      <c r="AH173" s="122">
        <f t="shared" si="9"/>
        <v>0</v>
      </c>
    </row>
    <row r="174" spans="1:34" s="75" customFormat="1" ht="15.75">
      <c r="A174" s="125">
        <v>178</v>
      </c>
      <c r="B174" s="73"/>
      <c r="C174" s="126" t="s">
        <v>187</v>
      </c>
      <c r="D174" s="272"/>
      <c r="E174" s="263">
        <f t="shared" si="10"/>
        <v>0</v>
      </c>
      <c r="F174" s="263"/>
      <c r="G174" s="263"/>
      <c r="H174" s="263">
        <f>IFERROR(VLOOKUP(A174,Cargas!$B$3:$I$93,3,FALSE),0)</f>
        <v>0</v>
      </c>
      <c r="I174" s="263">
        <f>IFERROR(VLOOKUP(A174,Cargas!$B$3:$I$93,4,FALSE),0)</f>
        <v>0</v>
      </c>
      <c r="J174" s="263">
        <f>IFERROR(VLOOKUP(A174,Cargas!$B$3:$I$93,5,FALSE),0)</f>
        <v>0</v>
      </c>
      <c r="K174" s="263">
        <f>IFERROR(VLOOKUP(A174,Cargas!$B$3:$I$93,6,FALSE),0)</f>
        <v>0</v>
      </c>
      <c r="L174" s="263">
        <f>IFERROR(VLOOKUP(A174,Cargas!$B$3:$I$93,7,FALSE),0)</f>
        <v>0</v>
      </c>
      <c r="AB174" s="123">
        <f t="shared" si="8"/>
        <v>0</v>
      </c>
      <c r="AC174" s="123">
        <f t="shared" si="8"/>
        <v>0</v>
      </c>
      <c r="AD174" s="123">
        <f t="shared" si="8"/>
        <v>0</v>
      </c>
      <c r="AE174" s="123">
        <f t="shared" si="7"/>
        <v>0</v>
      </c>
      <c r="AF174" s="123">
        <f t="shared" si="7"/>
        <v>0</v>
      </c>
      <c r="AG174" s="123">
        <f t="shared" si="7"/>
        <v>0</v>
      </c>
      <c r="AH174" s="122">
        <f t="shared" si="9"/>
        <v>0</v>
      </c>
    </row>
    <row r="175" spans="1:34" s="74" customFormat="1" ht="15.75">
      <c r="A175" s="125">
        <v>179</v>
      </c>
      <c r="B175" s="73"/>
      <c r="C175" s="126" t="s">
        <v>105</v>
      </c>
      <c r="D175" s="272"/>
      <c r="E175" s="263">
        <f t="shared" si="10"/>
        <v>0</v>
      </c>
      <c r="F175" s="263"/>
      <c r="G175" s="263"/>
      <c r="H175" s="263">
        <f>IFERROR(VLOOKUP(A175,Cargas!$B$3:$I$93,3,FALSE),0)</f>
        <v>0</v>
      </c>
      <c r="I175" s="263">
        <f>IFERROR(VLOOKUP(A175,Cargas!$B$3:$I$93,4,FALSE),0)</f>
        <v>0</v>
      </c>
      <c r="J175" s="263">
        <f>IFERROR(VLOOKUP(A175,Cargas!$B$3:$I$93,5,FALSE),0)</f>
        <v>0</v>
      </c>
      <c r="K175" s="263">
        <f>IFERROR(VLOOKUP(A175,Cargas!$B$3:$I$93,6,FALSE),0)</f>
        <v>0</v>
      </c>
      <c r="L175" s="263">
        <f>IFERROR(VLOOKUP(A175,Cargas!$B$3:$I$93,7,FALSE),0)</f>
        <v>0</v>
      </c>
      <c r="AB175" s="123">
        <f t="shared" si="8"/>
        <v>0</v>
      </c>
      <c r="AC175" s="123">
        <f t="shared" si="8"/>
        <v>0</v>
      </c>
      <c r="AD175" s="123">
        <f t="shared" si="8"/>
        <v>0</v>
      </c>
      <c r="AE175" s="123">
        <f t="shared" si="7"/>
        <v>0</v>
      </c>
      <c r="AF175" s="123">
        <f t="shared" si="7"/>
        <v>0</v>
      </c>
      <c r="AG175" s="123">
        <f t="shared" si="7"/>
        <v>0</v>
      </c>
      <c r="AH175" s="122">
        <f t="shared" si="9"/>
        <v>0</v>
      </c>
    </row>
    <row r="176" spans="1:34" s="75" customFormat="1" ht="15.75">
      <c r="A176" s="125">
        <v>180</v>
      </c>
      <c r="B176" s="73"/>
      <c r="C176" s="126" t="s">
        <v>118</v>
      </c>
      <c r="D176" s="272"/>
      <c r="E176" s="263">
        <f t="shared" si="10"/>
        <v>0</v>
      </c>
      <c r="F176" s="263"/>
      <c r="G176" s="263"/>
      <c r="H176" s="263">
        <f>IFERROR(VLOOKUP(A176,Cargas!$B$3:$I$93,3,FALSE),0)</f>
        <v>0</v>
      </c>
      <c r="I176" s="263">
        <f>IFERROR(VLOOKUP(A176,Cargas!$B$3:$I$93,4,FALSE),0)</f>
        <v>0</v>
      </c>
      <c r="J176" s="263">
        <f>IFERROR(VLOOKUP(A176,Cargas!$B$3:$I$93,5,FALSE),0)</f>
        <v>0</v>
      </c>
      <c r="K176" s="263">
        <f>IFERROR(VLOOKUP(A176,Cargas!$B$3:$I$93,6,FALSE),0)</f>
        <v>0</v>
      </c>
      <c r="L176" s="263">
        <f>IFERROR(VLOOKUP(A176,Cargas!$B$3:$I$93,7,FALSE),0)</f>
        <v>0</v>
      </c>
      <c r="AB176" s="123">
        <f t="shared" si="8"/>
        <v>0</v>
      </c>
      <c r="AC176" s="123">
        <f t="shared" si="8"/>
        <v>0</v>
      </c>
      <c r="AD176" s="123">
        <f t="shared" si="8"/>
        <v>0</v>
      </c>
      <c r="AE176" s="123">
        <f t="shared" si="7"/>
        <v>0</v>
      </c>
      <c r="AF176" s="123">
        <f t="shared" si="7"/>
        <v>0</v>
      </c>
      <c r="AG176" s="123">
        <f t="shared" si="7"/>
        <v>0</v>
      </c>
      <c r="AH176" s="122">
        <f t="shared" si="9"/>
        <v>0</v>
      </c>
    </row>
    <row r="177" spans="1:34" s="75" customFormat="1" ht="15.75">
      <c r="A177" s="125">
        <v>182</v>
      </c>
      <c r="B177" s="73"/>
      <c r="C177" s="126" t="s">
        <v>119</v>
      </c>
      <c r="D177" s="272"/>
      <c r="E177" s="263">
        <f t="shared" si="10"/>
        <v>0</v>
      </c>
      <c r="F177" s="263"/>
      <c r="G177" s="263"/>
      <c r="H177" s="263">
        <f>IFERROR(VLOOKUP(A177,Cargas!$B$3:$I$93,3,FALSE),0)</f>
        <v>0</v>
      </c>
      <c r="I177" s="263">
        <f>IFERROR(VLOOKUP(A177,Cargas!$B$3:$I$93,4,FALSE),0)</f>
        <v>0</v>
      </c>
      <c r="J177" s="263">
        <f>IFERROR(VLOOKUP(A177,Cargas!$B$3:$I$93,5,FALSE),0)</f>
        <v>0</v>
      </c>
      <c r="K177" s="263">
        <f>IFERROR(VLOOKUP(A177,Cargas!$B$3:$I$93,6,FALSE),0)</f>
        <v>0</v>
      </c>
      <c r="L177" s="263">
        <f>IFERROR(VLOOKUP(A177,Cargas!$B$3:$I$93,7,FALSE),0)</f>
        <v>0</v>
      </c>
      <c r="AB177" s="123">
        <f t="shared" si="8"/>
        <v>0</v>
      </c>
      <c r="AC177" s="123">
        <f t="shared" si="8"/>
        <v>0</v>
      </c>
      <c r="AD177" s="123">
        <f t="shared" si="8"/>
        <v>0</v>
      </c>
      <c r="AE177" s="123">
        <f t="shared" si="8"/>
        <v>0</v>
      </c>
      <c r="AF177" s="123">
        <f t="shared" si="8"/>
        <v>0</v>
      </c>
      <c r="AG177" s="123">
        <f t="shared" si="8"/>
        <v>0</v>
      </c>
      <c r="AH177" s="122">
        <f t="shared" si="9"/>
        <v>0</v>
      </c>
    </row>
    <row r="178" spans="1:34" s="74" customFormat="1" ht="15.75">
      <c r="A178" s="125">
        <v>183</v>
      </c>
      <c r="B178" s="73"/>
      <c r="C178" s="127" t="s">
        <v>188</v>
      </c>
      <c r="D178" s="273"/>
      <c r="E178" s="263">
        <f t="shared" si="10"/>
        <v>0</v>
      </c>
      <c r="F178" s="263"/>
      <c r="G178" s="263"/>
      <c r="H178" s="263">
        <f>IFERROR(VLOOKUP(A178,Cargas!$B$3:$I$93,3,FALSE),0)</f>
        <v>0</v>
      </c>
      <c r="I178" s="263">
        <f>IFERROR(VLOOKUP(A178,Cargas!$B$3:$I$93,4,FALSE),0)</f>
        <v>0</v>
      </c>
      <c r="J178" s="263">
        <f>IFERROR(VLOOKUP(A178,Cargas!$B$3:$I$93,5,FALSE),0)</f>
        <v>0</v>
      </c>
      <c r="K178" s="263">
        <f>IFERROR(VLOOKUP(A178,Cargas!$B$3:$I$93,6,FALSE),0)</f>
        <v>0</v>
      </c>
      <c r="L178" s="263">
        <f>IFERROR(VLOOKUP(A178,Cargas!$B$3:$I$93,7,FALSE),0)</f>
        <v>0</v>
      </c>
      <c r="AB178" s="123">
        <f t="shared" ref="AB178:AG220" si="11">+G178/G$9</f>
        <v>0</v>
      </c>
      <c r="AC178" s="123">
        <f t="shared" si="11"/>
        <v>0</v>
      </c>
      <c r="AD178" s="123">
        <f t="shared" si="11"/>
        <v>0</v>
      </c>
      <c r="AE178" s="123">
        <f t="shared" si="11"/>
        <v>0</v>
      </c>
      <c r="AF178" s="123">
        <f t="shared" si="11"/>
        <v>0</v>
      </c>
      <c r="AG178" s="123">
        <f t="shared" si="11"/>
        <v>0</v>
      </c>
      <c r="AH178" s="122">
        <f t="shared" si="9"/>
        <v>0</v>
      </c>
    </row>
    <row r="179" spans="1:34" s="75" customFormat="1" ht="15.75">
      <c r="A179" s="125">
        <v>184</v>
      </c>
      <c r="B179" s="73"/>
      <c r="C179" s="126" t="s">
        <v>189</v>
      </c>
      <c r="D179" s="272"/>
      <c r="E179" s="263">
        <f t="shared" si="10"/>
        <v>0</v>
      </c>
      <c r="F179" s="263"/>
      <c r="G179" s="263"/>
      <c r="H179" s="263">
        <f>IFERROR(VLOOKUP(A179,Cargas!$B$3:$I$93,3,FALSE),0)</f>
        <v>0</v>
      </c>
      <c r="I179" s="263">
        <f>IFERROR(VLOOKUP(A179,Cargas!$B$3:$I$93,4,FALSE),0)</f>
        <v>0</v>
      </c>
      <c r="J179" s="263">
        <f>IFERROR(VLOOKUP(A179,Cargas!$B$3:$I$93,5,FALSE),0)</f>
        <v>0</v>
      </c>
      <c r="K179" s="263">
        <f>IFERROR(VLOOKUP(A179,Cargas!$B$3:$I$93,6,FALSE),0)</f>
        <v>0</v>
      </c>
      <c r="L179" s="263">
        <f>IFERROR(VLOOKUP(A179,Cargas!$B$3:$I$93,7,FALSE),0)</f>
        <v>0</v>
      </c>
      <c r="AB179" s="123">
        <f t="shared" si="11"/>
        <v>0</v>
      </c>
      <c r="AC179" s="123">
        <f t="shared" si="11"/>
        <v>0</v>
      </c>
      <c r="AD179" s="123">
        <f t="shared" si="11"/>
        <v>0</v>
      </c>
      <c r="AE179" s="123">
        <f t="shared" si="11"/>
        <v>0</v>
      </c>
      <c r="AF179" s="123">
        <f t="shared" si="11"/>
        <v>0</v>
      </c>
      <c r="AG179" s="123">
        <f t="shared" si="11"/>
        <v>0</v>
      </c>
      <c r="AH179" s="122">
        <f t="shared" si="9"/>
        <v>0</v>
      </c>
    </row>
    <row r="180" spans="1:34" s="75" customFormat="1" ht="15.75">
      <c r="A180" s="125">
        <v>187</v>
      </c>
      <c r="B180" s="73"/>
      <c r="C180" s="127" t="s">
        <v>120</v>
      </c>
      <c r="D180" s="272"/>
      <c r="E180" s="263">
        <f t="shared" si="10"/>
        <v>0</v>
      </c>
      <c r="F180" s="263"/>
      <c r="G180" s="263"/>
      <c r="H180" s="263">
        <f>IFERROR(VLOOKUP(A180,Cargas!$B$3:$I$93,3,FALSE),0)</f>
        <v>0</v>
      </c>
      <c r="I180" s="263">
        <f>IFERROR(VLOOKUP(A180,Cargas!$B$3:$I$93,4,FALSE),0)</f>
        <v>0</v>
      </c>
      <c r="J180" s="263">
        <f>IFERROR(VLOOKUP(A180,Cargas!$B$3:$I$93,5,FALSE),0)</f>
        <v>0</v>
      </c>
      <c r="K180" s="263">
        <f>IFERROR(VLOOKUP(A180,Cargas!$B$3:$I$93,6,FALSE),0)</f>
        <v>0</v>
      </c>
      <c r="L180" s="263">
        <f>IFERROR(VLOOKUP(A180,Cargas!$B$3:$I$93,7,FALSE),0)</f>
        <v>0</v>
      </c>
      <c r="AB180" s="123">
        <f t="shared" si="11"/>
        <v>0</v>
      </c>
      <c r="AC180" s="123">
        <f t="shared" si="11"/>
        <v>0</v>
      </c>
      <c r="AD180" s="123">
        <f t="shared" si="11"/>
        <v>0</v>
      </c>
      <c r="AE180" s="123">
        <f t="shared" si="11"/>
        <v>0</v>
      </c>
      <c r="AF180" s="123">
        <f t="shared" si="11"/>
        <v>0</v>
      </c>
      <c r="AG180" s="123">
        <f t="shared" si="11"/>
        <v>0</v>
      </c>
      <c r="AH180" s="122">
        <f t="shared" si="9"/>
        <v>0</v>
      </c>
    </row>
    <row r="181" spans="1:34" s="74" customFormat="1" ht="15.75">
      <c r="A181" s="125">
        <v>188</v>
      </c>
      <c r="B181" s="73"/>
      <c r="C181" s="126" t="s">
        <v>121</v>
      </c>
      <c r="D181" s="272"/>
      <c r="E181" s="263">
        <f t="shared" si="10"/>
        <v>0</v>
      </c>
      <c r="F181" s="263"/>
      <c r="G181" s="263"/>
      <c r="H181" s="263">
        <f>IFERROR(VLOOKUP(A181,Cargas!$B$3:$I$93,3,FALSE),0)</f>
        <v>0</v>
      </c>
      <c r="I181" s="263">
        <f>IFERROR(VLOOKUP(A181,Cargas!$B$3:$I$93,4,FALSE),0)</f>
        <v>0</v>
      </c>
      <c r="J181" s="263">
        <f>IFERROR(VLOOKUP(A181,Cargas!$B$3:$I$93,5,FALSE),0)</f>
        <v>0</v>
      </c>
      <c r="K181" s="263">
        <f>IFERROR(VLOOKUP(A181,Cargas!$B$3:$I$93,6,FALSE),0)</f>
        <v>0</v>
      </c>
      <c r="L181" s="263">
        <f>IFERROR(VLOOKUP(A181,Cargas!$B$3:$I$93,7,FALSE),0)</f>
        <v>0</v>
      </c>
      <c r="AB181" s="123">
        <f t="shared" si="11"/>
        <v>0</v>
      </c>
      <c r="AC181" s="123">
        <f t="shared" si="11"/>
        <v>0</v>
      </c>
      <c r="AD181" s="123">
        <f t="shared" si="11"/>
        <v>0</v>
      </c>
      <c r="AE181" s="123">
        <f t="shared" si="11"/>
        <v>0</v>
      </c>
      <c r="AF181" s="123">
        <f t="shared" si="11"/>
        <v>0</v>
      </c>
      <c r="AG181" s="123">
        <f t="shared" si="11"/>
        <v>0</v>
      </c>
      <c r="AH181" s="122">
        <f t="shared" si="9"/>
        <v>0</v>
      </c>
    </row>
    <row r="182" spans="1:34" s="75" customFormat="1" ht="15.75">
      <c r="A182" s="125">
        <v>189</v>
      </c>
      <c r="B182" s="73"/>
      <c r="C182" s="127" t="s">
        <v>122</v>
      </c>
      <c r="D182" s="272"/>
      <c r="E182" s="263">
        <f t="shared" si="10"/>
        <v>0</v>
      </c>
      <c r="F182" s="263"/>
      <c r="G182" s="263"/>
      <c r="H182" s="263">
        <f>IFERROR(VLOOKUP(A182,Cargas!$B$3:$I$93,3,FALSE),0)</f>
        <v>0</v>
      </c>
      <c r="I182" s="263">
        <f>IFERROR(VLOOKUP(A182,Cargas!$B$3:$I$93,4,FALSE),0)</f>
        <v>0</v>
      </c>
      <c r="J182" s="263">
        <f>IFERROR(VLOOKUP(A182,Cargas!$B$3:$I$93,5,FALSE),0)</f>
        <v>0</v>
      </c>
      <c r="K182" s="263">
        <f>IFERROR(VLOOKUP(A182,Cargas!$B$3:$I$93,6,FALSE),0)</f>
        <v>0</v>
      </c>
      <c r="L182" s="263">
        <f>IFERROR(VLOOKUP(A182,Cargas!$B$3:$I$93,7,FALSE),0)</f>
        <v>0</v>
      </c>
      <c r="AB182" s="123">
        <f t="shared" si="11"/>
        <v>0</v>
      </c>
      <c r="AC182" s="123">
        <f t="shared" si="11"/>
        <v>0</v>
      </c>
      <c r="AD182" s="123">
        <f t="shared" si="11"/>
        <v>0</v>
      </c>
      <c r="AE182" s="123">
        <f t="shared" si="11"/>
        <v>0</v>
      </c>
      <c r="AF182" s="123">
        <f t="shared" si="11"/>
        <v>0</v>
      </c>
      <c r="AG182" s="123">
        <f t="shared" si="11"/>
        <v>0</v>
      </c>
      <c r="AH182" s="122">
        <f t="shared" si="9"/>
        <v>0</v>
      </c>
    </row>
    <row r="183" spans="1:34" s="75" customFormat="1" ht="15.75">
      <c r="A183" s="125">
        <v>190</v>
      </c>
      <c r="B183" s="73"/>
      <c r="C183" s="127" t="s">
        <v>123</v>
      </c>
      <c r="D183" s="272"/>
      <c r="E183" s="263">
        <f t="shared" si="10"/>
        <v>0</v>
      </c>
      <c r="F183" s="263"/>
      <c r="G183" s="263"/>
      <c r="H183" s="263">
        <f>IFERROR(VLOOKUP(A183,Cargas!$B$3:$I$93,3,FALSE),0)</f>
        <v>0</v>
      </c>
      <c r="I183" s="263">
        <f>IFERROR(VLOOKUP(A183,Cargas!$B$3:$I$93,4,FALSE),0)</f>
        <v>0</v>
      </c>
      <c r="J183" s="263">
        <f>IFERROR(VLOOKUP(A183,Cargas!$B$3:$I$93,5,FALSE),0)</f>
        <v>0</v>
      </c>
      <c r="K183" s="263">
        <f>IFERROR(VLOOKUP(A183,Cargas!$B$3:$I$93,6,FALSE),0)</f>
        <v>0</v>
      </c>
      <c r="L183" s="263">
        <f>IFERROR(VLOOKUP(A183,Cargas!$B$3:$I$93,7,FALSE),0)</f>
        <v>0</v>
      </c>
      <c r="AB183" s="123">
        <f t="shared" si="11"/>
        <v>0</v>
      </c>
      <c r="AC183" s="123">
        <f t="shared" si="11"/>
        <v>0</v>
      </c>
      <c r="AD183" s="123">
        <f t="shared" si="11"/>
        <v>0</v>
      </c>
      <c r="AE183" s="123">
        <f t="shared" si="11"/>
        <v>0</v>
      </c>
      <c r="AF183" s="123">
        <f t="shared" si="11"/>
        <v>0</v>
      </c>
      <c r="AG183" s="123">
        <f t="shared" si="11"/>
        <v>0</v>
      </c>
      <c r="AH183" s="122">
        <f t="shared" si="9"/>
        <v>0</v>
      </c>
    </row>
    <row r="184" spans="1:34" s="74" customFormat="1" ht="15.75">
      <c r="A184" s="125">
        <v>191</v>
      </c>
      <c r="B184" s="73"/>
      <c r="C184" s="126" t="s">
        <v>190</v>
      </c>
      <c r="D184" s="272"/>
      <c r="E184" s="263">
        <f t="shared" si="10"/>
        <v>0</v>
      </c>
      <c r="F184" s="263"/>
      <c r="G184" s="263"/>
      <c r="H184" s="263">
        <f>IFERROR(VLOOKUP(A184,Cargas!$B$3:$I$93,3,FALSE),0)</f>
        <v>0</v>
      </c>
      <c r="I184" s="263">
        <f>IFERROR(VLOOKUP(A184,Cargas!$B$3:$I$93,4,FALSE),0)</f>
        <v>0</v>
      </c>
      <c r="J184" s="263">
        <f>IFERROR(VLOOKUP(A184,Cargas!$B$3:$I$93,5,FALSE),0)</f>
        <v>0</v>
      </c>
      <c r="K184" s="263">
        <f>IFERROR(VLOOKUP(A184,Cargas!$B$3:$I$93,6,FALSE),0)</f>
        <v>0</v>
      </c>
      <c r="L184" s="263">
        <f>IFERROR(VLOOKUP(A184,Cargas!$B$3:$I$93,7,FALSE),0)</f>
        <v>0</v>
      </c>
      <c r="AB184" s="123">
        <f t="shared" si="11"/>
        <v>0</v>
      </c>
      <c r="AC184" s="123">
        <f t="shared" si="11"/>
        <v>0</v>
      </c>
      <c r="AD184" s="123">
        <f t="shared" si="11"/>
        <v>0</v>
      </c>
      <c r="AE184" s="123">
        <f t="shared" si="11"/>
        <v>0</v>
      </c>
      <c r="AF184" s="123">
        <f t="shared" si="11"/>
        <v>0</v>
      </c>
      <c r="AG184" s="123">
        <f t="shared" si="11"/>
        <v>0</v>
      </c>
      <c r="AH184" s="122">
        <f t="shared" si="9"/>
        <v>0</v>
      </c>
    </row>
    <row r="185" spans="1:34" s="75" customFormat="1" ht="15.75">
      <c r="A185" s="125">
        <v>192</v>
      </c>
      <c r="B185" s="73"/>
      <c r="C185" s="127" t="s">
        <v>124</v>
      </c>
      <c r="D185" s="273"/>
      <c r="E185" s="263">
        <f t="shared" si="10"/>
        <v>0</v>
      </c>
      <c r="F185" s="263"/>
      <c r="G185" s="263"/>
      <c r="H185" s="263">
        <f>IFERROR(VLOOKUP(A185,Cargas!$B$3:$I$93,3,FALSE),0)</f>
        <v>0</v>
      </c>
      <c r="I185" s="263">
        <f>IFERROR(VLOOKUP(A185,Cargas!$B$3:$I$93,4,FALSE),0)</f>
        <v>0</v>
      </c>
      <c r="J185" s="263">
        <f>IFERROR(VLOOKUP(A185,Cargas!$B$3:$I$93,5,FALSE),0)</f>
        <v>0</v>
      </c>
      <c r="K185" s="263">
        <f>IFERROR(VLOOKUP(A185,Cargas!$B$3:$I$93,6,FALSE),0)</f>
        <v>0</v>
      </c>
      <c r="L185" s="263">
        <f>IFERROR(VLOOKUP(A185,Cargas!$B$3:$I$93,7,FALSE),0)</f>
        <v>0</v>
      </c>
      <c r="AB185" s="123">
        <f t="shared" si="11"/>
        <v>0</v>
      </c>
      <c r="AC185" s="123">
        <f t="shared" si="11"/>
        <v>0</v>
      </c>
      <c r="AD185" s="123">
        <f t="shared" si="11"/>
        <v>0</v>
      </c>
      <c r="AE185" s="123">
        <f t="shared" si="11"/>
        <v>0</v>
      </c>
      <c r="AF185" s="123">
        <f t="shared" si="11"/>
        <v>0</v>
      </c>
      <c r="AG185" s="123">
        <f t="shared" si="11"/>
        <v>0</v>
      </c>
      <c r="AH185" s="122">
        <f t="shared" si="9"/>
        <v>0</v>
      </c>
    </row>
    <row r="186" spans="1:34" s="75" customFormat="1" ht="15.75">
      <c r="A186" s="125">
        <v>193</v>
      </c>
      <c r="B186" s="73"/>
      <c r="C186" s="126" t="s">
        <v>191</v>
      </c>
      <c r="D186" s="272"/>
      <c r="E186" s="263">
        <f t="shared" si="10"/>
        <v>0</v>
      </c>
      <c r="F186" s="263"/>
      <c r="G186" s="263"/>
      <c r="H186" s="263">
        <f>IFERROR(VLOOKUP(A186,Cargas!$B$3:$I$93,3,FALSE),0)</f>
        <v>0</v>
      </c>
      <c r="I186" s="263">
        <f>IFERROR(VLOOKUP(A186,Cargas!$B$3:$I$93,4,FALSE),0)</f>
        <v>0</v>
      </c>
      <c r="J186" s="263">
        <f>IFERROR(VLOOKUP(A186,Cargas!$B$3:$I$93,5,FALSE),0)</f>
        <v>0</v>
      </c>
      <c r="K186" s="263">
        <f>IFERROR(VLOOKUP(A186,Cargas!$B$3:$I$93,6,FALSE),0)</f>
        <v>0</v>
      </c>
      <c r="L186" s="263">
        <f>IFERROR(VLOOKUP(A186,Cargas!$B$3:$I$93,7,FALSE),0)</f>
        <v>0</v>
      </c>
      <c r="AB186" s="123">
        <f t="shared" si="11"/>
        <v>0</v>
      </c>
      <c r="AC186" s="123">
        <f t="shared" si="11"/>
        <v>0</v>
      </c>
      <c r="AD186" s="123">
        <f t="shared" si="11"/>
        <v>0</v>
      </c>
      <c r="AE186" s="123">
        <f t="shared" si="11"/>
        <v>0</v>
      </c>
      <c r="AF186" s="123">
        <f t="shared" si="11"/>
        <v>0</v>
      </c>
      <c r="AG186" s="123">
        <f t="shared" si="11"/>
        <v>0</v>
      </c>
      <c r="AH186" s="122">
        <f t="shared" si="9"/>
        <v>0</v>
      </c>
    </row>
    <row r="187" spans="1:34" s="74" customFormat="1" ht="15.75">
      <c r="A187" s="125">
        <v>195</v>
      </c>
      <c r="B187" s="73"/>
      <c r="C187" s="126" t="s">
        <v>125</v>
      </c>
      <c r="D187" s="272"/>
      <c r="E187" s="263">
        <f t="shared" si="10"/>
        <v>0</v>
      </c>
      <c r="F187" s="263"/>
      <c r="G187" s="263"/>
      <c r="H187" s="263">
        <f>IFERROR(VLOOKUP(A187,Cargas!$B$3:$I$93,3,FALSE),0)</f>
        <v>0</v>
      </c>
      <c r="I187" s="263">
        <f>IFERROR(VLOOKUP(A187,Cargas!$B$3:$I$93,4,FALSE),0)</f>
        <v>0</v>
      </c>
      <c r="J187" s="263">
        <f>IFERROR(VLOOKUP(A187,Cargas!$B$3:$I$93,5,FALSE),0)</f>
        <v>0</v>
      </c>
      <c r="K187" s="263">
        <f>IFERROR(VLOOKUP(A187,Cargas!$B$3:$I$93,6,FALSE),0)</f>
        <v>0</v>
      </c>
      <c r="L187" s="263">
        <f>IFERROR(VLOOKUP(A187,Cargas!$B$3:$I$93,7,FALSE),0)</f>
        <v>0</v>
      </c>
      <c r="AB187" s="123">
        <f t="shared" si="11"/>
        <v>0</v>
      </c>
      <c r="AC187" s="123">
        <f t="shared" si="11"/>
        <v>0</v>
      </c>
      <c r="AD187" s="123">
        <f t="shared" si="11"/>
        <v>0</v>
      </c>
      <c r="AE187" s="123">
        <f t="shared" si="11"/>
        <v>0</v>
      </c>
      <c r="AF187" s="123">
        <f t="shared" si="11"/>
        <v>0</v>
      </c>
      <c r="AG187" s="123">
        <f t="shared" si="11"/>
        <v>0</v>
      </c>
      <c r="AH187" s="122">
        <f t="shared" si="9"/>
        <v>0</v>
      </c>
    </row>
    <row r="188" spans="1:34" s="75" customFormat="1" ht="15.75">
      <c r="A188" s="125">
        <v>196</v>
      </c>
      <c r="B188" s="73"/>
      <c r="C188" s="126" t="s">
        <v>129</v>
      </c>
      <c r="D188" s="272"/>
      <c r="E188" s="263">
        <f t="shared" si="10"/>
        <v>0</v>
      </c>
      <c r="F188" s="263"/>
      <c r="G188" s="263"/>
      <c r="H188" s="263">
        <f>IFERROR(VLOOKUP(A188,Cargas!$B$3:$I$93,3,FALSE),0)</f>
        <v>0</v>
      </c>
      <c r="I188" s="263">
        <f>IFERROR(VLOOKUP(A188,Cargas!$B$3:$I$93,4,FALSE),0)</f>
        <v>0</v>
      </c>
      <c r="J188" s="263">
        <f>IFERROR(VLOOKUP(A188,Cargas!$B$3:$I$93,5,FALSE),0)</f>
        <v>0</v>
      </c>
      <c r="K188" s="263">
        <f>IFERROR(VLOOKUP(A188,Cargas!$B$3:$I$93,6,FALSE),0)</f>
        <v>0</v>
      </c>
      <c r="L188" s="263">
        <f>IFERROR(VLOOKUP(A188,Cargas!$B$3:$I$93,7,FALSE),0)</f>
        <v>0</v>
      </c>
      <c r="AB188" s="123">
        <f t="shared" si="11"/>
        <v>0</v>
      </c>
      <c r="AC188" s="123">
        <f t="shared" si="11"/>
        <v>0</v>
      </c>
      <c r="AD188" s="123">
        <f t="shared" si="11"/>
        <v>0</v>
      </c>
      <c r="AE188" s="123">
        <f t="shared" si="11"/>
        <v>0</v>
      </c>
      <c r="AF188" s="123">
        <f t="shared" si="11"/>
        <v>0</v>
      </c>
      <c r="AG188" s="123">
        <f t="shared" si="11"/>
        <v>0</v>
      </c>
      <c r="AH188" s="122">
        <f t="shared" si="9"/>
        <v>0</v>
      </c>
    </row>
    <row r="189" spans="1:34" s="75" customFormat="1" ht="15.75">
      <c r="A189" s="125">
        <v>197</v>
      </c>
      <c r="B189" s="78"/>
      <c r="C189" s="98" t="s">
        <v>128</v>
      </c>
      <c r="D189" s="275"/>
      <c r="E189" s="263">
        <f t="shared" si="10"/>
        <v>0</v>
      </c>
      <c r="F189" s="266"/>
      <c r="G189" s="263"/>
      <c r="H189" s="263">
        <f>IFERROR(VLOOKUP(A189,Cargas!$B$3:$I$93,3,FALSE),0)</f>
        <v>0</v>
      </c>
      <c r="I189" s="263">
        <f>IFERROR(VLOOKUP(A189,Cargas!$B$3:$I$93,4,FALSE),0)</f>
        <v>0</v>
      </c>
      <c r="J189" s="263">
        <f>IFERROR(VLOOKUP(A189,Cargas!$B$3:$I$93,5,FALSE),0)</f>
        <v>0</v>
      </c>
      <c r="K189" s="263">
        <f>IFERROR(VLOOKUP(A189,Cargas!$B$3:$I$93,6,FALSE),0)</f>
        <v>0</v>
      </c>
      <c r="L189" s="263">
        <f>IFERROR(VLOOKUP(A189,Cargas!$B$3:$I$93,7,FALSE),0)</f>
        <v>0</v>
      </c>
      <c r="AB189" s="123">
        <f t="shared" si="11"/>
        <v>0</v>
      </c>
      <c r="AC189" s="123">
        <f t="shared" si="11"/>
        <v>0</v>
      </c>
      <c r="AD189" s="123">
        <f t="shared" si="11"/>
        <v>0</v>
      </c>
      <c r="AE189" s="123">
        <f t="shared" si="11"/>
        <v>0</v>
      </c>
      <c r="AF189" s="123">
        <f t="shared" si="11"/>
        <v>0</v>
      </c>
      <c r="AG189" s="123">
        <f t="shared" si="11"/>
        <v>0</v>
      </c>
      <c r="AH189" s="122">
        <f t="shared" si="9"/>
        <v>0</v>
      </c>
    </row>
    <row r="190" spans="1:34" s="74" customFormat="1" ht="15.75">
      <c r="A190" s="125">
        <v>198</v>
      </c>
      <c r="B190" s="78"/>
      <c r="C190" s="98" t="s">
        <v>275</v>
      </c>
      <c r="D190" s="275"/>
      <c r="E190" s="263">
        <f t="shared" si="10"/>
        <v>0</v>
      </c>
      <c r="F190" s="263"/>
      <c r="G190" s="263"/>
      <c r="H190" s="263">
        <f>IFERROR(VLOOKUP(A190,Cargas!$B$3:$I$93,3,FALSE),0)</f>
        <v>0</v>
      </c>
      <c r="I190" s="263">
        <f>IFERROR(VLOOKUP(A190,Cargas!$B$3:$I$93,4,FALSE),0)</f>
        <v>0</v>
      </c>
      <c r="J190" s="263">
        <f>IFERROR(VLOOKUP(A190,Cargas!$B$3:$I$93,5,FALSE),0)</f>
        <v>0</v>
      </c>
      <c r="K190" s="263">
        <f>IFERROR(VLOOKUP(A190,Cargas!$B$3:$I$93,6,FALSE),0)</f>
        <v>0</v>
      </c>
      <c r="L190" s="263">
        <f>IFERROR(VLOOKUP(A190,Cargas!$B$3:$I$93,7,FALSE),0)</f>
        <v>0</v>
      </c>
      <c r="AB190" s="123">
        <f t="shared" si="11"/>
        <v>0</v>
      </c>
      <c r="AC190" s="123">
        <f t="shared" si="11"/>
        <v>0</v>
      </c>
      <c r="AD190" s="123">
        <f t="shared" si="11"/>
        <v>0</v>
      </c>
      <c r="AE190" s="123">
        <f t="shared" si="11"/>
        <v>0</v>
      </c>
      <c r="AF190" s="123">
        <f t="shared" si="11"/>
        <v>0</v>
      </c>
      <c r="AG190" s="123">
        <f t="shared" si="11"/>
        <v>0</v>
      </c>
      <c r="AH190" s="122">
        <f t="shared" si="9"/>
        <v>0</v>
      </c>
    </row>
    <row r="191" spans="1:34" s="75" customFormat="1" ht="15.75">
      <c r="A191" s="125">
        <v>199</v>
      </c>
      <c r="B191" s="78"/>
      <c r="C191" s="127" t="s">
        <v>130</v>
      </c>
      <c r="D191" s="275"/>
      <c r="E191" s="263">
        <f t="shared" si="10"/>
        <v>0</v>
      </c>
      <c r="F191" s="266"/>
      <c r="G191" s="263"/>
      <c r="H191" s="263">
        <f>IFERROR(VLOOKUP(A191,Cargas!$B$3:$I$93,3,FALSE),0)</f>
        <v>0</v>
      </c>
      <c r="I191" s="263">
        <f>IFERROR(VLOOKUP(A191,Cargas!$B$3:$I$93,4,FALSE),0)</f>
        <v>0</v>
      </c>
      <c r="J191" s="263">
        <f>IFERROR(VLOOKUP(A191,Cargas!$B$3:$I$93,5,FALSE),0)</f>
        <v>0</v>
      </c>
      <c r="K191" s="263">
        <f>IFERROR(VLOOKUP(A191,Cargas!$B$3:$I$93,6,FALSE),0)</f>
        <v>0</v>
      </c>
      <c r="L191" s="263">
        <f>IFERROR(VLOOKUP(A191,Cargas!$B$3:$I$93,7,FALSE),0)</f>
        <v>0</v>
      </c>
      <c r="AB191" s="123">
        <f t="shared" si="11"/>
        <v>0</v>
      </c>
      <c r="AC191" s="123">
        <f t="shared" si="11"/>
        <v>0</v>
      </c>
      <c r="AD191" s="123">
        <f t="shared" si="11"/>
        <v>0</v>
      </c>
      <c r="AE191" s="123">
        <f t="shared" si="11"/>
        <v>0</v>
      </c>
      <c r="AF191" s="123">
        <f t="shared" si="11"/>
        <v>0</v>
      </c>
      <c r="AG191" s="123">
        <f t="shared" si="11"/>
        <v>0</v>
      </c>
      <c r="AH191" s="122">
        <f t="shared" si="9"/>
        <v>0</v>
      </c>
    </row>
    <row r="192" spans="1:34" s="75" customFormat="1" ht="15.75">
      <c r="A192" s="125">
        <v>200</v>
      </c>
      <c r="B192" s="78"/>
      <c r="C192" s="98" t="s">
        <v>126</v>
      </c>
      <c r="D192" s="275"/>
      <c r="E192" s="263">
        <f t="shared" si="10"/>
        <v>0</v>
      </c>
      <c r="F192" s="266"/>
      <c r="G192" s="263"/>
      <c r="H192" s="263">
        <f>IFERROR(VLOOKUP(A192,Cargas!$B$3:$I$93,3,FALSE),0)</f>
        <v>0</v>
      </c>
      <c r="I192" s="263">
        <f>IFERROR(VLOOKUP(A192,Cargas!$B$3:$I$93,4,FALSE),0)</f>
        <v>0</v>
      </c>
      <c r="J192" s="263">
        <f>IFERROR(VLOOKUP(A192,Cargas!$B$3:$I$93,5,FALSE),0)</f>
        <v>0</v>
      </c>
      <c r="K192" s="263">
        <f>IFERROR(VLOOKUP(A192,Cargas!$B$3:$I$93,6,FALSE),0)</f>
        <v>0</v>
      </c>
      <c r="L192" s="263">
        <f>IFERROR(VLOOKUP(A192,Cargas!$B$3:$I$93,7,FALSE),0)</f>
        <v>0</v>
      </c>
      <c r="AB192" s="123">
        <f t="shared" si="11"/>
        <v>0</v>
      </c>
      <c r="AC192" s="123">
        <f t="shared" si="11"/>
        <v>0</v>
      </c>
      <c r="AD192" s="123">
        <f t="shared" si="11"/>
        <v>0</v>
      </c>
      <c r="AE192" s="123">
        <f t="shared" si="11"/>
        <v>0</v>
      </c>
      <c r="AF192" s="123">
        <f t="shared" si="11"/>
        <v>0</v>
      </c>
      <c r="AG192" s="123">
        <f t="shared" si="11"/>
        <v>0</v>
      </c>
      <c r="AH192" s="122">
        <f t="shared" si="9"/>
        <v>0</v>
      </c>
    </row>
    <row r="193" spans="1:34" s="74" customFormat="1" ht="15.75">
      <c r="A193" s="125">
        <v>202</v>
      </c>
      <c r="B193" s="78"/>
      <c r="C193" s="98" t="s">
        <v>127</v>
      </c>
      <c r="D193" s="275"/>
      <c r="E193" s="263">
        <f t="shared" si="10"/>
        <v>0</v>
      </c>
      <c r="F193" s="266"/>
      <c r="G193" s="263"/>
      <c r="H193" s="263">
        <f>IFERROR(VLOOKUP(A193,Cargas!$B$3:$I$93,3,FALSE),0)</f>
        <v>0</v>
      </c>
      <c r="I193" s="263">
        <f>IFERROR(VLOOKUP(A193,Cargas!$B$3:$I$93,4,FALSE),0)</f>
        <v>0</v>
      </c>
      <c r="J193" s="263">
        <f>IFERROR(VLOOKUP(A193,Cargas!$B$3:$I$93,5,FALSE),0)</f>
        <v>0</v>
      </c>
      <c r="K193" s="263">
        <f>IFERROR(VLOOKUP(A193,Cargas!$B$3:$I$93,6,FALSE),0)</f>
        <v>0</v>
      </c>
      <c r="L193" s="263">
        <f>IFERROR(VLOOKUP(A193,Cargas!$B$3:$I$93,7,FALSE),0)</f>
        <v>0</v>
      </c>
      <c r="AB193" s="123">
        <f t="shared" si="11"/>
        <v>0</v>
      </c>
      <c r="AC193" s="123">
        <f t="shared" si="11"/>
        <v>0</v>
      </c>
      <c r="AD193" s="123">
        <f t="shared" si="11"/>
        <v>0</v>
      </c>
      <c r="AE193" s="123">
        <f t="shared" si="11"/>
        <v>0</v>
      </c>
      <c r="AF193" s="123">
        <f t="shared" si="11"/>
        <v>0</v>
      </c>
      <c r="AG193" s="123">
        <f t="shared" si="11"/>
        <v>0</v>
      </c>
      <c r="AH193" s="122">
        <f t="shared" si="9"/>
        <v>0</v>
      </c>
    </row>
    <row r="194" spans="1:34" s="75" customFormat="1" ht="15.75">
      <c r="A194" s="125">
        <v>203</v>
      </c>
      <c r="B194" s="78"/>
      <c r="C194" s="98" t="s">
        <v>131</v>
      </c>
      <c r="D194" s="275"/>
      <c r="E194" s="263">
        <f t="shared" si="10"/>
        <v>0</v>
      </c>
      <c r="F194" s="266"/>
      <c r="G194" s="263"/>
      <c r="H194" s="263">
        <f>IFERROR(VLOOKUP(A194,Cargas!$B$3:$I$93,3,FALSE),0)</f>
        <v>0</v>
      </c>
      <c r="I194" s="263">
        <f>IFERROR(VLOOKUP(A194,Cargas!$B$3:$I$93,4,FALSE),0)</f>
        <v>0</v>
      </c>
      <c r="J194" s="263">
        <f>IFERROR(VLOOKUP(A194,Cargas!$B$3:$I$93,5,FALSE),0)</f>
        <v>0</v>
      </c>
      <c r="K194" s="263">
        <f>IFERROR(VLOOKUP(A194,Cargas!$B$3:$I$93,6,FALSE),0)</f>
        <v>0</v>
      </c>
      <c r="L194" s="263">
        <f>IFERROR(VLOOKUP(A194,Cargas!$B$3:$I$93,7,FALSE),0)</f>
        <v>0</v>
      </c>
      <c r="AB194" s="123">
        <f t="shared" si="11"/>
        <v>0</v>
      </c>
      <c r="AC194" s="123">
        <f t="shared" si="11"/>
        <v>0</v>
      </c>
      <c r="AD194" s="123">
        <f t="shared" si="11"/>
        <v>0</v>
      </c>
      <c r="AE194" s="123">
        <f t="shared" si="11"/>
        <v>0</v>
      </c>
      <c r="AF194" s="123">
        <f t="shared" si="11"/>
        <v>0</v>
      </c>
      <c r="AG194" s="123">
        <f t="shared" si="11"/>
        <v>0</v>
      </c>
      <c r="AH194" s="122">
        <f t="shared" si="9"/>
        <v>0</v>
      </c>
    </row>
    <row r="195" spans="1:34" s="75" customFormat="1" ht="15.75">
      <c r="A195" s="125">
        <v>204</v>
      </c>
      <c r="B195" s="78"/>
      <c r="C195" s="98" t="s">
        <v>132</v>
      </c>
      <c r="D195" s="275"/>
      <c r="E195" s="263">
        <f t="shared" si="10"/>
        <v>0</v>
      </c>
      <c r="F195" s="266"/>
      <c r="G195" s="263"/>
      <c r="H195" s="263">
        <f>IFERROR(VLOOKUP(A195,Cargas!$B$3:$I$93,3,FALSE),0)</f>
        <v>0</v>
      </c>
      <c r="I195" s="263">
        <f>IFERROR(VLOOKUP(A195,Cargas!$B$3:$I$93,4,FALSE),0)</f>
        <v>0</v>
      </c>
      <c r="J195" s="263">
        <f>IFERROR(VLOOKUP(A195,Cargas!$B$3:$I$93,5,FALSE),0)</f>
        <v>0</v>
      </c>
      <c r="K195" s="263">
        <f>IFERROR(VLOOKUP(A195,Cargas!$B$3:$I$93,6,FALSE),0)</f>
        <v>0</v>
      </c>
      <c r="L195" s="263">
        <f>IFERROR(VLOOKUP(A195,Cargas!$B$3:$I$93,7,FALSE),0)</f>
        <v>0</v>
      </c>
      <c r="AB195" s="123">
        <f t="shared" si="11"/>
        <v>0</v>
      </c>
      <c r="AC195" s="123">
        <f t="shared" si="11"/>
        <v>0</v>
      </c>
      <c r="AD195" s="123">
        <f t="shared" si="11"/>
        <v>0</v>
      </c>
      <c r="AE195" s="123">
        <f t="shared" si="11"/>
        <v>0</v>
      </c>
      <c r="AF195" s="123">
        <f t="shared" si="11"/>
        <v>0</v>
      </c>
      <c r="AG195" s="123">
        <f t="shared" si="11"/>
        <v>0</v>
      </c>
      <c r="AH195" s="122">
        <f t="shared" si="9"/>
        <v>0</v>
      </c>
    </row>
    <row r="196" spans="1:34" s="74" customFormat="1" ht="15.75">
      <c r="A196" s="125">
        <v>205</v>
      </c>
      <c r="B196" s="78"/>
      <c r="C196" s="127" t="s">
        <v>137</v>
      </c>
      <c r="D196" s="273"/>
      <c r="E196" s="263">
        <f t="shared" si="10"/>
        <v>0</v>
      </c>
      <c r="F196" s="263"/>
      <c r="G196" s="263"/>
      <c r="H196" s="263">
        <f>IFERROR(VLOOKUP(A196,Cargas!$B$3:$I$93,3,FALSE),0)</f>
        <v>0</v>
      </c>
      <c r="I196" s="263">
        <f>IFERROR(VLOOKUP(A196,Cargas!$B$3:$I$93,4,FALSE),0)</f>
        <v>0</v>
      </c>
      <c r="J196" s="263">
        <f>IFERROR(VLOOKUP(A196,Cargas!$B$3:$I$93,5,FALSE),0)</f>
        <v>0</v>
      </c>
      <c r="K196" s="263">
        <f>IFERROR(VLOOKUP(A196,Cargas!$B$3:$I$93,6,FALSE),0)</f>
        <v>0</v>
      </c>
      <c r="L196" s="263">
        <f>IFERROR(VLOOKUP(A196,Cargas!$B$3:$I$93,7,FALSE),0)</f>
        <v>0</v>
      </c>
      <c r="AB196" s="123">
        <f t="shared" si="11"/>
        <v>0</v>
      </c>
      <c r="AC196" s="123">
        <f t="shared" si="11"/>
        <v>0</v>
      </c>
      <c r="AD196" s="123">
        <f t="shared" si="11"/>
        <v>0</v>
      </c>
      <c r="AE196" s="123">
        <f t="shared" si="11"/>
        <v>0</v>
      </c>
      <c r="AF196" s="123">
        <f t="shared" si="11"/>
        <v>0</v>
      </c>
      <c r="AG196" s="123">
        <f t="shared" si="11"/>
        <v>0</v>
      </c>
      <c r="AH196" s="122">
        <f t="shared" si="9"/>
        <v>0</v>
      </c>
    </row>
    <row r="197" spans="1:34" s="75" customFormat="1" ht="15.75">
      <c r="A197" s="125">
        <v>206</v>
      </c>
      <c r="B197" s="78"/>
      <c r="C197" s="127" t="s">
        <v>138</v>
      </c>
      <c r="D197" s="275"/>
      <c r="E197" s="263">
        <f t="shared" si="10"/>
        <v>0</v>
      </c>
      <c r="F197" s="263"/>
      <c r="G197" s="263"/>
      <c r="H197" s="263">
        <f>IFERROR(VLOOKUP(A197,Cargas!$B$3:$I$93,3,FALSE),0)</f>
        <v>0</v>
      </c>
      <c r="I197" s="263">
        <f>IFERROR(VLOOKUP(A197,Cargas!$B$3:$I$93,4,FALSE),0)</f>
        <v>0</v>
      </c>
      <c r="J197" s="263">
        <f>IFERROR(VLOOKUP(A197,Cargas!$B$3:$I$93,5,FALSE),0)</f>
        <v>0</v>
      </c>
      <c r="K197" s="263">
        <f>IFERROR(VLOOKUP(A197,Cargas!$B$3:$I$93,6,FALSE),0)</f>
        <v>0</v>
      </c>
      <c r="L197" s="263">
        <f>IFERROR(VLOOKUP(A197,Cargas!$B$3:$I$93,7,FALSE),0)</f>
        <v>0</v>
      </c>
      <c r="AB197" s="123">
        <f t="shared" si="11"/>
        <v>0</v>
      </c>
      <c r="AC197" s="123">
        <f t="shared" si="11"/>
        <v>0</v>
      </c>
      <c r="AD197" s="123">
        <f t="shared" si="11"/>
        <v>0</v>
      </c>
      <c r="AE197" s="123">
        <f t="shared" si="11"/>
        <v>0</v>
      </c>
      <c r="AF197" s="123">
        <f t="shared" si="11"/>
        <v>0</v>
      </c>
      <c r="AG197" s="123">
        <f t="shared" si="11"/>
        <v>0</v>
      </c>
      <c r="AH197" s="122">
        <f t="shared" si="9"/>
        <v>0</v>
      </c>
    </row>
    <row r="198" spans="1:34" s="75" customFormat="1" ht="15.75">
      <c r="A198" s="125">
        <v>207</v>
      </c>
      <c r="B198" s="78"/>
      <c r="C198" s="127" t="s">
        <v>139</v>
      </c>
      <c r="D198" s="273"/>
      <c r="E198" s="263">
        <f t="shared" si="10"/>
        <v>0</v>
      </c>
      <c r="F198" s="263"/>
      <c r="G198" s="263"/>
      <c r="H198" s="263">
        <f>IFERROR(VLOOKUP(A198,Cargas!$B$3:$I$93,3,FALSE),0)</f>
        <v>0</v>
      </c>
      <c r="I198" s="263">
        <f>IFERROR(VLOOKUP(A198,Cargas!$B$3:$I$93,4,FALSE),0)</f>
        <v>0</v>
      </c>
      <c r="J198" s="263">
        <f>IFERROR(VLOOKUP(A198,Cargas!$B$3:$I$93,5,FALSE),0)</f>
        <v>0</v>
      </c>
      <c r="K198" s="263">
        <f>IFERROR(VLOOKUP(A198,Cargas!$B$3:$I$93,6,FALSE),0)</f>
        <v>0</v>
      </c>
      <c r="L198" s="263">
        <f>IFERROR(VLOOKUP(A198,Cargas!$B$3:$I$93,7,FALSE),0)</f>
        <v>0</v>
      </c>
      <c r="AB198" s="123">
        <f t="shared" si="11"/>
        <v>0</v>
      </c>
      <c r="AC198" s="123">
        <f t="shared" si="11"/>
        <v>0</v>
      </c>
      <c r="AD198" s="123">
        <f t="shared" si="11"/>
        <v>0</v>
      </c>
      <c r="AE198" s="123">
        <f t="shared" si="11"/>
        <v>0</v>
      </c>
      <c r="AF198" s="123">
        <f t="shared" si="11"/>
        <v>0</v>
      </c>
      <c r="AG198" s="123">
        <f t="shared" si="11"/>
        <v>0</v>
      </c>
      <c r="AH198" s="122">
        <f t="shared" si="9"/>
        <v>0</v>
      </c>
    </row>
    <row r="199" spans="1:34" s="74" customFormat="1" ht="15.75">
      <c r="A199" s="125">
        <v>208</v>
      </c>
      <c r="B199" s="78"/>
      <c r="C199" s="127" t="s">
        <v>140</v>
      </c>
      <c r="D199" s="275"/>
      <c r="E199" s="263">
        <f t="shared" si="10"/>
        <v>0</v>
      </c>
      <c r="F199" s="266"/>
      <c r="G199" s="263"/>
      <c r="H199" s="263">
        <f>IFERROR(VLOOKUP(A199,Cargas!$B$3:$I$93,3,FALSE),0)</f>
        <v>0</v>
      </c>
      <c r="I199" s="263">
        <f>IFERROR(VLOOKUP(A199,Cargas!$B$3:$I$93,4,FALSE),0)</f>
        <v>0</v>
      </c>
      <c r="J199" s="263">
        <f>IFERROR(VLOOKUP(A199,Cargas!$B$3:$I$93,5,FALSE),0)</f>
        <v>0</v>
      </c>
      <c r="K199" s="263">
        <f>IFERROR(VLOOKUP(A199,Cargas!$B$3:$I$93,6,FALSE),0)</f>
        <v>0</v>
      </c>
      <c r="L199" s="263">
        <f>IFERROR(VLOOKUP(A199,Cargas!$B$3:$I$93,7,FALSE),0)</f>
        <v>0</v>
      </c>
      <c r="AB199" s="123">
        <f t="shared" si="11"/>
        <v>0</v>
      </c>
      <c r="AC199" s="123">
        <f t="shared" si="11"/>
        <v>0</v>
      </c>
      <c r="AD199" s="123">
        <f t="shared" si="11"/>
        <v>0</v>
      </c>
      <c r="AE199" s="123">
        <f t="shared" si="11"/>
        <v>0</v>
      </c>
      <c r="AF199" s="123">
        <f t="shared" si="11"/>
        <v>0</v>
      </c>
      <c r="AG199" s="123">
        <f t="shared" si="11"/>
        <v>0</v>
      </c>
      <c r="AH199" s="122">
        <f t="shared" si="9"/>
        <v>0</v>
      </c>
    </row>
    <row r="200" spans="1:34" s="75" customFormat="1" ht="15.75">
      <c r="A200" s="125">
        <v>209</v>
      </c>
      <c r="B200" s="78"/>
      <c r="C200" s="127" t="s">
        <v>141</v>
      </c>
      <c r="D200" s="275"/>
      <c r="E200" s="263">
        <f t="shared" si="10"/>
        <v>0</v>
      </c>
      <c r="F200" s="263"/>
      <c r="G200" s="263"/>
      <c r="H200" s="263">
        <f>IFERROR(VLOOKUP(A200,Cargas!$B$3:$I$93,3,FALSE),0)</f>
        <v>0</v>
      </c>
      <c r="I200" s="263">
        <f>IFERROR(VLOOKUP(A200,Cargas!$B$3:$I$93,4,FALSE),0)</f>
        <v>0</v>
      </c>
      <c r="J200" s="263">
        <f>IFERROR(VLOOKUP(A200,Cargas!$B$3:$I$93,5,FALSE),0)</f>
        <v>0</v>
      </c>
      <c r="K200" s="263">
        <f>IFERROR(VLOOKUP(A200,Cargas!$B$3:$I$93,6,FALSE),0)</f>
        <v>0</v>
      </c>
      <c r="L200" s="263">
        <f>IFERROR(VLOOKUP(A200,Cargas!$B$3:$I$93,7,FALSE),0)</f>
        <v>0</v>
      </c>
      <c r="AB200" s="123">
        <f t="shared" si="11"/>
        <v>0</v>
      </c>
      <c r="AC200" s="123">
        <f t="shared" si="11"/>
        <v>0</v>
      </c>
      <c r="AD200" s="123">
        <f t="shared" si="11"/>
        <v>0</v>
      </c>
      <c r="AE200" s="123">
        <f t="shared" si="11"/>
        <v>0</v>
      </c>
      <c r="AF200" s="123">
        <f t="shared" si="11"/>
        <v>0</v>
      </c>
      <c r="AG200" s="123">
        <f t="shared" si="11"/>
        <v>0</v>
      </c>
      <c r="AH200" s="122">
        <f t="shared" si="9"/>
        <v>0</v>
      </c>
    </row>
    <row r="201" spans="1:34" s="75" customFormat="1" ht="15.75">
      <c r="A201" s="125">
        <v>210</v>
      </c>
      <c r="B201" s="78"/>
      <c r="C201" s="98" t="s">
        <v>142</v>
      </c>
      <c r="D201" s="275"/>
      <c r="E201" s="263">
        <f t="shared" si="10"/>
        <v>0</v>
      </c>
      <c r="F201" s="266"/>
      <c r="G201" s="263"/>
      <c r="H201" s="263">
        <f>IFERROR(VLOOKUP(A201,Cargas!$B$3:$I$93,3,FALSE),0)</f>
        <v>0</v>
      </c>
      <c r="I201" s="263">
        <f>IFERROR(VLOOKUP(A201,Cargas!$B$3:$I$93,4,FALSE),0)</f>
        <v>0</v>
      </c>
      <c r="J201" s="263">
        <f>IFERROR(VLOOKUP(A201,Cargas!$B$3:$I$93,5,FALSE),0)</f>
        <v>0</v>
      </c>
      <c r="K201" s="263">
        <f>IFERROR(VLOOKUP(A201,Cargas!$B$3:$I$93,6,FALSE),0)</f>
        <v>0</v>
      </c>
      <c r="L201" s="263">
        <f>IFERROR(VLOOKUP(A201,Cargas!$B$3:$I$93,7,FALSE),0)</f>
        <v>0</v>
      </c>
      <c r="AB201" s="123">
        <f t="shared" si="11"/>
        <v>0</v>
      </c>
      <c r="AC201" s="123">
        <f t="shared" si="11"/>
        <v>0</v>
      </c>
      <c r="AD201" s="123">
        <f t="shared" si="11"/>
        <v>0</v>
      </c>
      <c r="AE201" s="123">
        <f t="shared" si="11"/>
        <v>0</v>
      </c>
      <c r="AF201" s="123">
        <f t="shared" si="11"/>
        <v>0</v>
      </c>
      <c r="AG201" s="123">
        <f t="shared" si="11"/>
        <v>0</v>
      </c>
      <c r="AH201" s="122">
        <f t="shared" si="9"/>
        <v>0</v>
      </c>
    </row>
    <row r="202" spans="1:34" s="74" customFormat="1" ht="15.75">
      <c r="A202" s="125">
        <v>211</v>
      </c>
      <c r="B202" s="78"/>
      <c r="C202" s="98" t="s">
        <v>143</v>
      </c>
      <c r="D202" s="275"/>
      <c r="E202" s="263">
        <f t="shared" si="10"/>
        <v>0</v>
      </c>
      <c r="F202" s="266"/>
      <c r="G202" s="263"/>
      <c r="H202" s="263">
        <f>IFERROR(VLOOKUP(A202,Cargas!$B$3:$I$93,3,FALSE),0)</f>
        <v>0</v>
      </c>
      <c r="I202" s="263">
        <f>IFERROR(VLOOKUP(A202,Cargas!$B$3:$I$93,4,FALSE),0)</f>
        <v>0</v>
      </c>
      <c r="J202" s="263">
        <f>IFERROR(VLOOKUP(A202,Cargas!$B$3:$I$93,5,FALSE),0)</f>
        <v>0</v>
      </c>
      <c r="K202" s="263">
        <f>IFERROR(VLOOKUP(A202,Cargas!$B$3:$I$93,6,FALSE),0)</f>
        <v>0</v>
      </c>
      <c r="L202" s="263">
        <f>IFERROR(VLOOKUP(A202,Cargas!$B$3:$I$93,7,FALSE),0)</f>
        <v>0</v>
      </c>
      <c r="AB202" s="123">
        <f t="shared" si="11"/>
        <v>0</v>
      </c>
      <c r="AC202" s="123">
        <f t="shared" si="11"/>
        <v>0</v>
      </c>
      <c r="AD202" s="123">
        <f t="shared" si="11"/>
        <v>0</v>
      </c>
      <c r="AE202" s="123">
        <f t="shared" si="11"/>
        <v>0</v>
      </c>
      <c r="AF202" s="123">
        <f t="shared" si="11"/>
        <v>0</v>
      </c>
      <c r="AG202" s="123">
        <f t="shared" si="11"/>
        <v>0</v>
      </c>
      <c r="AH202" s="122">
        <f t="shared" si="9"/>
        <v>0</v>
      </c>
    </row>
    <row r="203" spans="1:34" s="75" customFormat="1" ht="15.75">
      <c r="A203" s="125">
        <v>212</v>
      </c>
      <c r="B203" s="78"/>
      <c r="C203" s="127" t="s">
        <v>144</v>
      </c>
      <c r="D203" s="275"/>
      <c r="E203" s="263">
        <f t="shared" si="10"/>
        <v>0</v>
      </c>
      <c r="F203" s="263"/>
      <c r="G203" s="263"/>
      <c r="H203" s="263">
        <f>IFERROR(VLOOKUP(A203,Cargas!$B$3:$I$93,3,FALSE),0)</f>
        <v>0</v>
      </c>
      <c r="I203" s="263">
        <f>IFERROR(VLOOKUP(A203,Cargas!$B$3:$I$93,4,FALSE),0)</f>
        <v>0</v>
      </c>
      <c r="J203" s="263">
        <f>IFERROR(VLOOKUP(A203,Cargas!$B$3:$I$93,5,FALSE),0)</f>
        <v>0</v>
      </c>
      <c r="K203" s="263">
        <f>IFERROR(VLOOKUP(A203,Cargas!$B$3:$I$93,6,FALSE),0)</f>
        <v>0</v>
      </c>
      <c r="L203" s="263">
        <f>IFERROR(VLOOKUP(A203,Cargas!$B$3:$I$93,7,FALSE),0)</f>
        <v>0</v>
      </c>
      <c r="AB203" s="123">
        <f t="shared" si="11"/>
        <v>0</v>
      </c>
      <c r="AC203" s="123">
        <f t="shared" si="11"/>
        <v>0</v>
      </c>
      <c r="AD203" s="123">
        <f t="shared" si="11"/>
        <v>0</v>
      </c>
      <c r="AE203" s="123">
        <f t="shared" si="11"/>
        <v>0</v>
      </c>
      <c r="AF203" s="123">
        <f t="shared" si="11"/>
        <v>0</v>
      </c>
      <c r="AG203" s="123">
        <f t="shared" si="11"/>
        <v>0</v>
      </c>
      <c r="AH203" s="122">
        <f t="shared" si="9"/>
        <v>0</v>
      </c>
    </row>
    <row r="204" spans="1:34" s="75" customFormat="1" ht="15.75">
      <c r="A204" s="125">
        <v>213</v>
      </c>
      <c r="B204" s="78"/>
      <c r="C204" s="127" t="s">
        <v>145</v>
      </c>
      <c r="D204" s="275"/>
      <c r="E204" s="263">
        <f t="shared" si="10"/>
        <v>0</v>
      </c>
      <c r="F204" s="266"/>
      <c r="G204" s="263"/>
      <c r="H204" s="263">
        <f>IFERROR(VLOOKUP(A204,Cargas!$B$3:$I$93,3,FALSE),0)</f>
        <v>0</v>
      </c>
      <c r="I204" s="263">
        <f>IFERROR(VLOOKUP(A204,Cargas!$B$3:$I$93,4,FALSE),0)</f>
        <v>0</v>
      </c>
      <c r="J204" s="263">
        <f>IFERROR(VLOOKUP(A204,Cargas!$B$3:$I$93,5,FALSE),0)</f>
        <v>0</v>
      </c>
      <c r="K204" s="263">
        <f>IFERROR(VLOOKUP(A204,Cargas!$B$3:$I$93,6,FALSE),0)</f>
        <v>0</v>
      </c>
      <c r="L204" s="263">
        <f>IFERROR(VLOOKUP(A204,Cargas!$B$3:$I$93,7,FALSE),0)</f>
        <v>0</v>
      </c>
      <c r="AB204" s="123">
        <f t="shared" si="11"/>
        <v>0</v>
      </c>
      <c r="AC204" s="123">
        <f t="shared" si="11"/>
        <v>0</v>
      </c>
      <c r="AD204" s="123">
        <f t="shared" si="11"/>
        <v>0</v>
      </c>
      <c r="AE204" s="123">
        <f t="shared" si="11"/>
        <v>0</v>
      </c>
      <c r="AF204" s="123">
        <f t="shared" si="11"/>
        <v>0</v>
      </c>
      <c r="AG204" s="123">
        <f t="shared" si="11"/>
        <v>0</v>
      </c>
      <c r="AH204" s="122">
        <f t="shared" si="9"/>
        <v>0</v>
      </c>
    </row>
    <row r="205" spans="1:34" s="74" customFormat="1" ht="15.75">
      <c r="A205" s="125">
        <v>214</v>
      </c>
      <c r="B205" s="78"/>
      <c r="C205" s="127" t="s">
        <v>146</v>
      </c>
      <c r="D205" s="275"/>
      <c r="E205" s="263">
        <f t="shared" si="10"/>
        <v>0</v>
      </c>
      <c r="F205" s="263"/>
      <c r="G205" s="263"/>
      <c r="H205" s="263">
        <f>IFERROR(VLOOKUP(A205,Cargas!$B$3:$I$93,3,FALSE),0)</f>
        <v>0</v>
      </c>
      <c r="I205" s="263">
        <f>IFERROR(VLOOKUP(A205,Cargas!$B$3:$I$93,4,FALSE),0)</f>
        <v>0</v>
      </c>
      <c r="J205" s="263">
        <f>IFERROR(VLOOKUP(A205,Cargas!$B$3:$I$93,5,FALSE),0)</f>
        <v>0</v>
      </c>
      <c r="K205" s="263">
        <f>IFERROR(VLOOKUP(A205,Cargas!$B$3:$I$93,6,FALSE),0)</f>
        <v>0</v>
      </c>
      <c r="L205" s="263">
        <f>IFERROR(VLOOKUP(A205,Cargas!$B$3:$I$93,7,FALSE),0)</f>
        <v>0</v>
      </c>
      <c r="AB205" s="123">
        <f t="shared" si="11"/>
        <v>0</v>
      </c>
      <c r="AC205" s="123">
        <f t="shared" si="11"/>
        <v>0</v>
      </c>
      <c r="AD205" s="123">
        <f t="shared" si="11"/>
        <v>0</v>
      </c>
      <c r="AE205" s="123">
        <f t="shared" si="11"/>
        <v>0</v>
      </c>
      <c r="AF205" s="123">
        <f t="shared" si="11"/>
        <v>0</v>
      </c>
      <c r="AG205" s="123">
        <f t="shared" si="11"/>
        <v>0</v>
      </c>
      <c r="AH205" s="122">
        <f t="shared" si="9"/>
        <v>0</v>
      </c>
    </row>
    <row r="206" spans="1:34" s="75" customFormat="1" ht="15.75">
      <c r="A206" s="125">
        <v>215</v>
      </c>
      <c r="B206" s="78"/>
      <c r="C206" s="127" t="s">
        <v>147</v>
      </c>
      <c r="D206" s="273"/>
      <c r="E206" s="263">
        <f t="shared" si="10"/>
        <v>0</v>
      </c>
      <c r="F206" s="263"/>
      <c r="G206" s="263"/>
      <c r="H206" s="263">
        <f>IFERROR(VLOOKUP(A206,Cargas!$B$3:$I$93,3,FALSE),0)</f>
        <v>0</v>
      </c>
      <c r="I206" s="263">
        <f>IFERROR(VLOOKUP(A206,Cargas!$B$3:$I$93,4,FALSE),0)</f>
        <v>0</v>
      </c>
      <c r="J206" s="263">
        <f>IFERROR(VLOOKUP(A206,Cargas!$B$3:$I$93,5,FALSE),0)</f>
        <v>0</v>
      </c>
      <c r="K206" s="263">
        <f>IFERROR(VLOOKUP(A206,Cargas!$B$3:$I$93,6,FALSE),0)</f>
        <v>0</v>
      </c>
      <c r="L206" s="263">
        <f>IFERROR(VLOOKUP(A206,Cargas!$B$3:$I$93,7,FALSE),0)</f>
        <v>0</v>
      </c>
      <c r="AB206" s="123">
        <f t="shared" si="11"/>
        <v>0</v>
      </c>
      <c r="AC206" s="123">
        <f t="shared" si="11"/>
        <v>0</v>
      </c>
      <c r="AD206" s="123">
        <f t="shared" si="11"/>
        <v>0</v>
      </c>
      <c r="AE206" s="123">
        <f t="shared" si="11"/>
        <v>0</v>
      </c>
      <c r="AF206" s="123">
        <f t="shared" si="11"/>
        <v>0</v>
      </c>
      <c r="AG206" s="123">
        <f t="shared" si="11"/>
        <v>0</v>
      </c>
      <c r="AH206" s="122">
        <f t="shared" si="9"/>
        <v>0</v>
      </c>
    </row>
    <row r="207" spans="1:34" s="75" customFormat="1" ht="15.75">
      <c r="A207" s="125">
        <v>216</v>
      </c>
      <c r="B207" s="78"/>
      <c r="C207" s="127" t="s">
        <v>148</v>
      </c>
      <c r="D207" s="275"/>
      <c r="E207" s="263">
        <f t="shared" si="10"/>
        <v>0</v>
      </c>
      <c r="F207" s="266"/>
      <c r="G207" s="263"/>
      <c r="H207" s="263">
        <f>IFERROR(VLOOKUP(A207,Cargas!$B$3:$I$93,3,FALSE),0)</f>
        <v>0</v>
      </c>
      <c r="I207" s="263">
        <f>IFERROR(VLOOKUP(A207,Cargas!$B$3:$I$93,4,FALSE),0)</f>
        <v>0</v>
      </c>
      <c r="J207" s="263">
        <f>IFERROR(VLOOKUP(A207,Cargas!$B$3:$I$93,5,FALSE),0)</f>
        <v>0</v>
      </c>
      <c r="K207" s="263">
        <f>IFERROR(VLOOKUP(A207,Cargas!$B$3:$I$93,6,FALSE),0)</f>
        <v>0</v>
      </c>
      <c r="L207" s="263">
        <f>IFERROR(VLOOKUP(A207,Cargas!$B$3:$I$93,7,FALSE),0)</f>
        <v>0</v>
      </c>
      <c r="AB207" s="123">
        <f t="shared" si="11"/>
        <v>0</v>
      </c>
      <c r="AC207" s="123">
        <f t="shared" si="11"/>
        <v>0</v>
      </c>
      <c r="AD207" s="123">
        <f t="shared" si="11"/>
        <v>0</v>
      </c>
      <c r="AE207" s="123">
        <f t="shared" si="11"/>
        <v>0</v>
      </c>
      <c r="AF207" s="123">
        <f t="shared" si="11"/>
        <v>0</v>
      </c>
      <c r="AG207" s="123">
        <f t="shared" si="11"/>
        <v>0</v>
      </c>
      <c r="AH207" s="122">
        <f t="shared" ref="AH207:AH270" si="12">+SUM(AB207:AG207)</f>
        <v>0</v>
      </c>
    </row>
    <row r="208" spans="1:34" s="74" customFormat="1" ht="15.75">
      <c r="A208" s="125">
        <v>217</v>
      </c>
      <c r="B208" s="78"/>
      <c r="C208" s="127" t="s">
        <v>262</v>
      </c>
      <c r="D208" s="273"/>
      <c r="E208" s="263">
        <f t="shared" si="10"/>
        <v>0</v>
      </c>
      <c r="F208" s="266"/>
      <c r="G208" s="263"/>
      <c r="H208" s="263">
        <f>IFERROR(VLOOKUP(A208,Cargas!$B$3:$I$93,3,FALSE),0)</f>
        <v>0</v>
      </c>
      <c r="I208" s="263">
        <f>IFERROR(VLOOKUP(A208,Cargas!$B$3:$I$93,4,FALSE),0)</f>
        <v>0</v>
      </c>
      <c r="J208" s="263">
        <f>IFERROR(VLOOKUP(A208,Cargas!$B$3:$I$93,5,FALSE),0)</f>
        <v>0</v>
      </c>
      <c r="K208" s="263">
        <f>IFERROR(VLOOKUP(A208,Cargas!$B$3:$I$93,6,FALSE),0)</f>
        <v>0</v>
      </c>
      <c r="L208" s="263">
        <f>IFERROR(VLOOKUP(A208,Cargas!$B$3:$I$93,7,FALSE),0)</f>
        <v>0</v>
      </c>
      <c r="AB208" s="123">
        <f t="shared" si="11"/>
        <v>0</v>
      </c>
      <c r="AC208" s="123">
        <f t="shared" si="11"/>
        <v>0</v>
      </c>
      <c r="AD208" s="123">
        <f t="shared" si="11"/>
        <v>0</v>
      </c>
      <c r="AE208" s="123">
        <f t="shared" si="11"/>
        <v>0</v>
      </c>
      <c r="AF208" s="123">
        <f t="shared" si="11"/>
        <v>0</v>
      </c>
      <c r="AG208" s="123">
        <f t="shared" si="11"/>
        <v>0</v>
      </c>
      <c r="AH208" s="122">
        <f t="shared" si="12"/>
        <v>0</v>
      </c>
    </row>
    <row r="209" spans="1:34" s="75" customFormat="1" ht="15.75">
      <c r="A209" s="125">
        <v>218</v>
      </c>
      <c r="B209" s="78"/>
      <c r="C209" s="127" t="s">
        <v>237</v>
      </c>
      <c r="D209" s="273"/>
      <c r="E209" s="263">
        <f t="shared" ref="E209:E272" si="13">+SUM(H209:L209)</f>
        <v>0</v>
      </c>
      <c r="F209" s="263"/>
      <c r="G209" s="263"/>
      <c r="H209" s="263">
        <f>IFERROR(VLOOKUP(A209,Cargas!$B$3:$I$93,3,FALSE),0)</f>
        <v>0</v>
      </c>
      <c r="I209" s="263">
        <f>IFERROR(VLOOKUP(A209,Cargas!$B$3:$I$93,4,FALSE),0)</f>
        <v>0</v>
      </c>
      <c r="J209" s="263">
        <f>IFERROR(VLOOKUP(A209,Cargas!$B$3:$I$93,5,FALSE),0)</f>
        <v>0</v>
      </c>
      <c r="K209" s="263">
        <f>IFERROR(VLOOKUP(A209,Cargas!$B$3:$I$93,6,FALSE),0)</f>
        <v>0</v>
      </c>
      <c r="L209" s="263">
        <f>IFERROR(VLOOKUP(A209,Cargas!$B$3:$I$93,7,FALSE),0)</f>
        <v>0</v>
      </c>
      <c r="AB209" s="123">
        <f t="shared" si="11"/>
        <v>0</v>
      </c>
      <c r="AC209" s="123">
        <f t="shared" si="11"/>
        <v>0</v>
      </c>
      <c r="AD209" s="123">
        <f t="shared" si="11"/>
        <v>0</v>
      </c>
      <c r="AE209" s="123">
        <f t="shared" si="11"/>
        <v>0</v>
      </c>
      <c r="AF209" s="123">
        <f t="shared" si="11"/>
        <v>0</v>
      </c>
      <c r="AG209" s="123">
        <f t="shared" si="11"/>
        <v>0</v>
      </c>
      <c r="AH209" s="122">
        <f t="shared" si="12"/>
        <v>0</v>
      </c>
    </row>
    <row r="210" spans="1:34" s="75" customFormat="1" ht="15.75">
      <c r="A210" s="125">
        <v>219</v>
      </c>
      <c r="B210" s="78"/>
      <c r="C210" s="98" t="s">
        <v>149</v>
      </c>
      <c r="D210" s="275"/>
      <c r="E210" s="263">
        <f t="shared" si="13"/>
        <v>0</v>
      </c>
      <c r="F210" s="266"/>
      <c r="G210" s="263"/>
      <c r="H210" s="263">
        <f>IFERROR(VLOOKUP(A210,Cargas!$B$3:$I$93,3,FALSE),0)</f>
        <v>0</v>
      </c>
      <c r="I210" s="263">
        <f>IFERROR(VLOOKUP(A210,Cargas!$B$3:$I$93,4,FALSE),0)</f>
        <v>0</v>
      </c>
      <c r="J210" s="263">
        <f>IFERROR(VLOOKUP(A210,Cargas!$B$3:$I$93,5,FALSE),0)</f>
        <v>0</v>
      </c>
      <c r="K210" s="263">
        <f>IFERROR(VLOOKUP(A210,Cargas!$B$3:$I$93,6,FALSE),0)</f>
        <v>0</v>
      </c>
      <c r="L210" s="263">
        <f>IFERROR(VLOOKUP(A210,Cargas!$B$3:$I$93,7,FALSE),0)</f>
        <v>0</v>
      </c>
      <c r="AB210" s="123">
        <f t="shared" si="11"/>
        <v>0</v>
      </c>
      <c r="AC210" s="123">
        <f t="shared" si="11"/>
        <v>0</v>
      </c>
      <c r="AD210" s="123">
        <f t="shared" si="11"/>
        <v>0</v>
      </c>
      <c r="AE210" s="123">
        <f t="shared" si="11"/>
        <v>0</v>
      </c>
      <c r="AF210" s="123">
        <f t="shared" si="11"/>
        <v>0</v>
      </c>
      <c r="AG210" s="123">
        <f t="shared" si="11"/>
        <v>0</v>
      </c>
      <c r="AH210" s="122">
        <f t="shared" si="12"/>
        <v>0</v>
      </c>
    </row>
    <row r="211" spans="1:34" s="74" customFormat="1" ht="15.75">
      <c r="A211" s="125">
        <v>220</v>
      </c>
      <c r="B211" s="78"/>
      <c r="C211" s="98" t="s">
        <v>150</v>
      </c>
      <c r="D211" s="275"/>
      <c r="E211" s="263">
        <f t="shared" si="13"/>
        <v>0</v>
      </c>
      <c r="F211" s="263"/>
      <c r="G211" s="263"/>
      <c r="H211" s="263">
        <f>IFERROR(VLOOKUP(A211,Cargas!$B$3:$I$93,3,FALSE),0)</f>
        <v>0</v>
      </c>
      <c r="I211" s="263">
        <f>IFERROR(VLOOKUP(A211,Cargas!$B$3:$I$93,4,FALSE),0)</f>
        <v>0</v>
      </c>
      <c r="J211" s="263">
        <f>IFERROR(VLOOKUP(A211,Cargas!$B$3:$I$93,5,FALSE),0)</f>
        <v>0</v>
      </c>
      <c r="K211" s="263">
        <f>IFERROR(VLOOKUP(A211,Cargas!$B$3:$I$93,6,FALSE),0)</f>
        <v>0</v>
      </c>
      <c r="L211" s="263">
        <f>IFERROR(VLOOKUP(A211,Cargas!$B$3:$I$93,7,FALSE),0)</f>
        <v>0</v>
      </c>
      <c r="AB211" s="123">
        <f t="shared" si="11"/>
        <v>0</v>
      </c>
      <c r="AC211" s="123">
        <f t="shared" si="11"/>
        <v>0</v>
      </c>
      <c r="AD211" s="123">
        <f t="shared" si="11"/>
        <v>0</v>
      </c>
      <c r="AE211" s="123">
        <f t="shared" si="11"/>
        <v>0</v>
      </c>
      <c r="AF211" s="123">
        <f t="shared" si="11"/>
        <v>0</v>
      </c>
      <c r="AG211" s="123">
        <f t="shared" si="11"/>
        <v>0</v>
      </c>
      <c r="AH211" s="122">
        <f t="shared" si="12"/>
        <v>0</v>
      </c>
    </row>
    <row r="212" spans="1:34" s="75" customFormat="1" ht="15.75">
      <c r="A212" s="125">
        <v>221</v>
      </c>
      <c r="B212" s="78"/>
      <c r="C212" s="98" t="s">
        <v>254</v>
      </c>
      <c r="D212" s="275"/>
      <c r="E212" s="263">
        <f t="shared" si="13"/>
        <v>0</v>
      </c>
      <c r="F212" s="266"/>
      <c r="G212" s="263"/>
      <c r="H212" s="263">
        <f>IFERROR(VLOOKUP(A212,Cargas!$B$3:$I$93,3,FALSE),0)</f>
        <v>0</v>
      </c>
      <c r="I212" s="263">
        <f>IFERROR(VLOOKUP(A212,Cargas!$B$3:$I$93,4,FALSE),0)</f>
        <v>0</v>
      </c>
      <c r="J212" s="263">
        <f>IFERROR(VLOOKUP(A212,Cargas!$B$3:$I$93,5,FALSE),0)</f>
        <v>0</v>
      </c>
      <c r="K212" s="263">
        <f>IFERROR(VLOOKUP(A212,Cargas!$B$3:$I$93,6,FALSE),0)</f>
        <v>0</v>
      </c>
      <c r="L212" s="263">
        <f>IFERROR(VLOOKUP(A212,Cargas!$B$3:$I$93,7,FALSE),0)</f>
        <v>0</v>
      </c>
      <c r="AB212" s="123">
        <f t="shared" si="11"/>
        <v>0</v>
      </c>
      <c r="AC212" s="123">
        <f t="shared" si="11"/>
        <v>0</v>
      </c>
      <c r="AD212" s="123">
        <f t="shared" si="11"/>
        <v>0</v>
      </c>
      <c r="AE212" s="123">
        <f t="shared" si="11"/>
        <v>0</v>
      </c>
      <c r="AF212" s="123">
        <f t="shared" si="11"/>
        <v>0</v>
      </c>
      <c r="AG212" s="123">
        <f t="shared" si="11"/>
        <v>0</v>
      </c>
      <c r="AH212" s="122">
        <f t="shared" si="12"/>
        <v>0</v>
      </c>
    </row>
    <row r="213" spans="1:34" s="75" customFormat="1" ht="15.75">
      <c r="A213" s="125">
        <v>222</v>
      </c>
      <c r="B213" s="78"/>
      <c r="C213" s="127" t="s">
        <v>152</v>
      </c>
      <c r="D213" s="273"/>
      <c r="E213" s="263">
        <f t="shared" si="13"/>
        <v>0</v>
      </c>
      <c r="F213" s="266"/>
      <c r="G213" s="263"/>
      <c r="H213" s="263">
        <f>IFERROR(VLOOKUP(A213,Cargas!$B$3:$I$93,3,FALSE),0)</f>
        <v>0</v>
      </c>
      <c r="I213" s="263">
        <f>IFERROR(VLOOKUP(A213,Cargas!$B$3:$I$93,4,FALSE),0)</f>
        <v>0</v>
      </c>
      <c r="J213" s="263">
        <f>IFERROR(VLOOKUP(A213,Cargas!$B$3:$I$93,5,FALSE),0)</f>
        <v>0</v>
      </c>
      <c r="K213" s="263">
        <f>IFERROR(VLOOKUP(A213,Cargas!$B$3:$I$93,6,FALSE),0)</f>
        <v>0</v>
      </c>
      <c r="L213" s="263">
        <f>IFERROR(VLOOKUP(A213,Cargas!$B$3:$I$93,7,FALSE),0)</f>
        <v>0</v>
      </c>
      <c r="AB213" s="123">
        <f t="shared" si="11"/>
        <v>0</v>
      </c>
      <c r="AC213" s="123">
        <f t="shared" si="11"/>
        <v>0</v>
      </c>
      <c r="AD213" s="123">
        <f t="shared" si="11"/>
        <v>0</v>
      </c>
      <c r="AE213" s="123">
        <f t="shared" si="11"/>
        <v>0</v>
      </c>
      <c r="AF213" s="123">
        <f t="shared" si="11"/>
        <v>0</v>
      </c>
      <c r="AG213" s="123">
        <f t="shared" si="11"/>
        <v>0</v>
      </c>
      <c r="AH213" s="122">
        <f t="shared" si="12"/>
        <v>0</v>
      </c>
    </row>
    <row r="214" spans="1:34" s="74" customFormat="1" ht="15.75">
      <c r="A214" s="125">
        <v>223</v>
      </c>
      <c r="B214" s="78"/>
      <c r="C214" s="98" t="s">
        <v>192</v>
      </c>
      <c r="D214" s="275"/>
      <c r="E214" s="263">
        <f t="shared" si="13"/>
        <v>0</v>
      </c>
      <c r="F214" s="266"/>
      <c r="G214" s="263"/>
      <c r="H214" s="263">
        <f>IFERROR(VLOOKUP(A214,Cargas!$B$3:$I$93,3,FALSE),0)</f>
        <v>0</v>
      </c>
      <c r="I214" s="263">
        <f>IFERROR(VLOOKUP(A214,Cargas!$B$3:$I$93,4,FALSE),0)</f>
        <v>0</v>
      </c>
      <c r="J214" s="263">
        <f>IFERROR(VLOOKUP(A214,Cargas!$B$3:$I$93,5,FALSE),0)</f>
        <v>0</v>
      </c>
      <c r="K214" s="263">
        <f>IFERROR(VLOOKUP(A214,Cargas!$B$3:$I$93,6,FALSE),0)</f>
        <v>0</v>
      </c>
      <c r="L214" s="263">
        <f>IFERROR(VLOOKUP(A214,Cargas!$B$3:$I$93,7,FALSE),0)</f>
        <v>0</v>
      </c>
      <c r="AB214" s="123">
        <f t="shared" si="11"/>
        <v>0</v>
      </c>
      <c r="AC214" s="123">
        <f t="shared" si="11"/>
        <v>0</v>
      </c>
      <c r="AD214" s="123">
        <f t="shared" si="11"/>
        <v>0</v>
      </c>
      <c r="AE214" s="123">
        <f t="shared" si="11"/>
        <v>0</v>
      </c>
      <c r="AF214" s="123">
        <f t="shared" si="11"/>
        <v>0</v>
      </c>
      <c r="AG214" s="123">
        <f t="shared" si="11"/>
        <v>0</v>
      </c>
      <c r="AH214" s="122">
        <f t="shared" si="12"/>
        <v>0</v>
      </c>
    </row>
    <row r="215" spans="1:34" s="75" customFormat="1" ht="15.75">
      <c r="A215" s="125">
        <v>224</v>
      </c>
      <c r="B215" s="78"/>
      <c r="C215" s="127" t="s">
        <v>193</v>
      </c>
      <c r="D215" s="273"/>
      <c r="E215" s="263">
        <f t="shared" si="13"/>
        <v>0</v>
      </c>
      <c r="F215" s="263"/>
      <c r="G215" s="263"/>
      <c r="H215" s="263">
        <f>IFERROR(VLOOKUP(A215,Cargas!$B$3:$I$93,3,FALSE),0)</f>
        <v>0</v>
      </c>
      <c r="I215" s="263">
        <f>IFERROR(VLOOKUP(A215,Cargas!$B$3:$I$93,4,FALSE),0)</f>
        <v>0</v>
      </c>
      <c r="J215" s="263">
        <f>IFERROR(VLOOKUP(A215,Cargas!$B$3:$I$93,5,FALSE),0)</f>
        <v>0</v>
      </c>
      <c r="K215" s="263">
        <f>IFERROR(VLOOKUP(A215,Cargas!$B$3:$I$93,6,FALSE),0)</f>
        <v>0</v>
      </c>
      <c r="L215" s="263">
        <f>IFERROR(VLOOKUP(A215,Cargas!$B$3:$I$93,7,FALSE),0)</f>
        <v>0</v>
      </c>
      <c r="AB215" s="123">
        <f t="shared" si="11"/>
        <v>0</v>
      </c>
      <c r="AC215" s="123">
        <f t="shared" si="11"/>
        <v>0</v>
      </c>
      <c r="AD215" s="123">
        <f t="shared" si="11"/>
        <v>0</v>
      </c>
      <c r="AE215" s="123">
        <f t="shared" si="11"/>
        <v>0</v>
      </c>
      <c r="AF215" s="123">
        <f t="shared" si="11"/>
        <v>0</v>
      </c>
      <c r="AG215" s="123">
        <f t="shared" si="11"/>
        <v>0</v>
      </c>
      <c r="AH215" s="122">
        <f t="shared" si="12"/>
        <v>0</v>
      </c>
    </row>
    <row r="216" spans="1:34" s="75" customFormat="1" ht="15.75">
      <c r="A216" s="125">
        <v>225</v>
      </c>
      <c r="B216" s="78"/>
      <c r="C216" s="127" t="s">
        <v>238</v>
      </c>
      <c r="D216" s="275"/>
      <c r="E216" s="263">
        <f t="shared" si="13"/>
        <v>0</v>
      </c>
      <c r="F216" s="263"/>
      <c r="G216" s="263"/>
      <c r="H216" s="263">
        <f>IFERROR(VLOOKUP(A216,Cargas!$B$3:$I$93,3,FALSE),0)</f>
        <v>0</v>
      </c>
      <c r="I216" s="263">
        <f>IFERROR(VLOOKUP(A216,Cargas!$B$3:$I$93,4,FALSE),0)</f>
        <v>0</v>
      </c>
      <c r="J216" s="263">
        <f>IFERROR(VLOOKUP(A216,Cargas!$B$3:$I$93,5,FALSE),0)</f>
        <v>0</v>
      </c>
      <c r="K216" s="263">
        <f>IFERROR(VLOOKUP(A216,Cargas!$B$3:$I$93,6,FALSE),0)</f>
        <v>0</v>
      </c>
      <c r="L216" s="263">
        <f>IFERROR(VLOOKUP(A216,Cargas!$B$3:$I$93,7,FALSE),0)</f>
        <v>0</v>
      </c>
      <c r="AB216" s="123">
        <f t="shared" si="11"/>
        <v>0</v>
      </c>
      <c r="AC216" s="123">
        <f t="shared" si="11"/>
        <v>0</v>
      </c>
      <c r="AD216" s="123">
        <f t="shared" si="11"/>
        <v>0</v>
      </c>
      <c r="AE216" s="123">
        <f t="shared" si="11"/>
        <v>0</v>
      </c>
      <c r="AF216" s="123">
        <f t="shared" si="11"/>
        <v>0</v>
      </c>
      <c r="AG216" s="123">
        <f t="shared" si="11"/>
        <v>0</v>
      </c>
      <c r="AH216" s="122">
        <f t="shared" si="12"/>
        <v>0</v>
      </c>
    </row>
    <row r="217" spans="1:34" s="74" customFormat="1" ht="15.75">
      <c r="A217" s="125">
        <v>226</v>
      </c>
      <c r="B217" s="78"/>
      <c r="C217" s="127" t="s">
        <v>194</v>
      </c>
      <c r="D217" s="273"/>
      <c r="E217" s="263">
        <f t="shared" si="13"/>
        <v>0</v>
      </c>
      <c r="F217" s="263"/>
      <c r="G217" s="263"/>
      <c r="H217" s="263">
        <f>IFERROR(VLOOKUP(A217,Cargas!$B$3:$I$93,3,FALSE),0)</f>
        <v>0</v>
      </c>
      <c r="I217" s="263">
        <f>IFERROR(VLOOKUP(A217,Cargas!$B$3:$I$93,4,FALSE),0)</f>
        <v>0</v>
      </c>
      <c r="J217" s="263">
        <f>IFERROR(VLOOKUP(A217,Cargas!$B$3:$I$93,5,FALSE),0)</f>
        <v>0</v>
      </c>
      <c r="K217" s="263">
        <f>IFERROR(VLOOKUP(A217,Cargas!$B$3:$I$93,6,FALSE),0)</f>
        <v>0</v>
      </c>
      <c r="L217" s="263">
        <f>IFERROR(VLOOKUP(A217,Cargas!$B$3:$I$93,7,FALSE),0)</f>
        <v>0</v>
      </c>
      <c r="AB217" s="123">
        <f t="shared" si="11"/>
        <v>0</v>
      </c>
      <c r="AC217" s="123">
        <f t="shared" si="11"/>
        <v>0</v>
      </c>
      <c r="AD217" s="123">
        <f t="shared" si="11"/>
        <v>0</v>
      </c>
      <c r="AE217" s="123">
        <f t="shared" si="11"/>
        <v>0</v>
      </c>
      <c r="AF217" s="123">
        <f t="shared" si="11"/>
        <v>0</v>
      </c>
      <c r="AG217" s="123">
        <f t="shared" si="11"/>
        <v>0</v>
      </c>
      <c r="AH217" s="122">
        <f t="shared" si="12"/>
        <v>0</v>
      </c>
    </row>
    <row r="218" spans="1:34" s="75" customFormat="1" ht="15.75">
      <c r="A218" s="125">
        <v>227</v>
      </c>
      <c r="B218" s="78"/>
      <c r="C218" s="98" t="s">
        <v>195</v>
      </c>
      <c r="D218" s="275"/>
      <c r="E218" s="263">
        <f t="shared" si="13"/>
        <v>0</v>
      </c>
      <c r="F218" s="263"/>
      <c r="G218" s="263"/>
      <c r="H218" s="263">
        <f>IFERROR(VLOOKUP(A218,Cargas!$B$3:$I$93,3,FALSE),0)</f>
        <v>0</v>
      </c>
      <c r="I218" s="263">
        <f>IFERROR(VLOOKUP(A218,Cargas!$B$3:$I$93,4,FALSE),0)</f>
        <v>0</v>
      </c>
      <c r="J218" s="263">
        <f>IFERROR(VLOOKUP(A218,Cargas!$B$3:$I$93,5,FALSE),0)</f>
        <v>0</v>
      </c>
      <c r="K218" s="263">
        <f>IFERROR(VLOOKUP(A218,Cargas!$B$3:$I$93,6,FALSE),0)</f>
        <v>0</v>
      </c>
      <c r="L218" s="263">
        <f>IFERROR(VLOOKUP(A218,Cargas!$B$3:$I$93,7,FALSE),0)</f>
        <v>0</v>
      </c>
      <c r="AB218" s="123">
        <f t="shared" si="11"/>
        <v>0</v>
      </c>
      <c r="AC218" s="123">
        <f t="shared" si="11"/>
        <v>0</v>
      </c>
      <c r="AD218" s="123">
        <f t="shared" si="11"/>
        <v>0</v>
      </c>
      <c r="AE218" s="123">
        <f t="shared" si="11"/>
        <v>0</v>
      </c>
      <c r="AF218" s="123">
        <f t="shared" si="11"/>
        <v>0</v>
      </c>
      <c r="AG218" s="123">
        <f t="shared" si="11"/>
        <v>0</v>
      </c>
      <c r="AH218" s="122">
        <f t="shared" si="12"/>
        <v>0</v>
      </c>
    </row>
    <row r="219" spans="1:34" s="75" customFormat="1" ht="15.75">
      <c r="A219" s="125">
        <v>228</v>
      </c>
      <c r="B219" s="78"/>
      <c r="C219" s="127" t="s">
        <v>196</v>
      </c>
      <c r="D219" s="275"/>
      <c r="E219" s="263">
        <f t="shared" si="13"/>
        <v>0</v>
      </c>
      <c r="F219" s="266"/>
      <c r="G219" s="263"/>
      <c r="H219" s="263">
        <f>IFERROR(VLOOKUP(A219,Cargas!$B$3:$I$93,3,FALSE),0)</f>
        <v>0</v>
      </c>
      <c r="I219" s="263">
        <f>IFERROR(VLOOKUP(A219,Cargas!$B$3:$I$93,4,FALSE),0)</f>
        <v>0</v>
      </c>
      <c r="J219" s="263">
        <f>IFERROR(VLOOKUP(A219,Cargas!$B$3:$I$93,5,FALSE),0)</f>
        <v>0</v>
      </c>
      <c r="K219" s="263">
        <f>IFERROR(VLOOKUP(A219,Cargas!$B$3:$I$93,6,FALSE),0)</f>
        <v>0</v>
      </c>
      <c r="L219" s="263">
        <f>IFERROR(VLOOKUP(A219,Cargas!$B$3:$I$93,7,FALSE),0)</f>
        <v>0</v>
      </c>
      <c r="AB219" s="123">
        <f t="shared" si="11"/>
        <v>0</v>
      </c>
      <c r="AC219" s="123">
        <f t="shared" si="11"/>
        <v>0</v>
      </c>
      <c r="AD219" s="123">
        <f t="shared" si="11"/>
        <v>0</v>
      </c>
      <c r="AE219" s="123">
        <f t="shared" si="11"/>
        <v>0</v>
      </c>
      <c r="AF219" s="123">
        <f t="shared" si="11"/>
        <v>0</v>
      </c>
      <c r="AG219" s="123">
        <f t="shared" si="11"/>
        <v>0</v>
      </c>
      <c r="AH219" s="122">
        <f t="shared" si="12"/>
        <v>0</v>
      </c>
    </row>
    <row r="220" spans="1:34" s="74" customFormat="1" ht="15.75">
      <c r="A220" s="125">
        <v>229</v>
      </c>
      <c r="B220" s="78"/>
      <c r="C220" s="127" t="s">
        <v>197</v>
      </c>
      <c r="D220" s="273"/>
      <c r="E220" s="263">
        <f t="shared" si="13"/>
        <v>0</v>
      </c>
      <c r="F220" s="266"/>
      <c r="G220" s="263"/>
      <c r="H220" s="263">
        <f>IFERROR(VLOOKUP(A220,Cargas!$B$3:$I$93,3,FALSE),0)</f>
        <v>0</v>
      </c>
      <c r="I220" s="263">
        <f>IFERROR(VLOOKUP(A220,Cargas!$B$3:$I$93,4,FALSE),0)</f>
        <v>0</v>
      </c>
      <c r="J220" s="263">
        <f>IFERROR(VLOOKUP(A220,Cargas!$B$3:$I$93,5,FALSE),0)</f>
        <v>0</v>
      </c>
      <c r="K220" s="263">
        <f>IFERROR(VLOOKUP(A220,Cargas!$B$3:$I$93,6,FALSE),0)</f>
        <v>0</v>
      </c>
      <c r="L220" s="263">
        <f>IFERROR(VLOOKUP(A220,Cargas!$B$3:$I$93,7,FALSE),0)</f>
        <v>0</v>
      </c>
      <c r="AB220" s="123">
        <f t="shared" si="11"/>
        <v>0</v>
      </c>
      <c r="AC220" s="123">
        <f t="shared" si="11"/>
        <v>0</v>
      </c>
      <c r="AD220" s="123">
        <f t="shared" si="11"/>
        <v>0</v>
      </c>
      <c r="AE220" s="123">
        <f t="shared" ref="AE220:AG284" si="14">+J220/J$9</f>
        <v>0</v>
      </c>
      <c r="AF220" s="123">
        <f t="shared" si="14"/>
        <v>0</v>
      </c>
      <c r="AG220" s="123">
        <f t="shared" si="14"/>
        <v>0</v>
      </c>
      <c r="AH220" s="122">
        <f t="shared" si="12"/>
        <v>0</v>
      </c>
    </row>
    <row r="221" spans="1:34" s="75" customFormat="1" ht="15.75">
      <c r="A221" s="125">
        <v>230</v>
      </c>
      <c r="B221" s="78"/>
      <c r="C221" s="98" t="s">
        <v>255</v>
      </c>
      <c r="D221" s="275"/>
      <c r="E221" s="263">
        <f t="shared" si="13"/>
        <v>0</v>
      </c>
      <c r="F221" s="266"/>
      <c r="G221" s="263"/>
      <c r="H221" s="263">
        <f>IFERROR(VLOOKUP(A221,Cargas!$B$3:$I$93,3,FALSE),0)</f>
        <v>0</v>
      </c>
      <c r="I221" s="263">
        <f>IFERROR(VLOOKUP(A221,Cargas!$B$3:$I$93,4,FALSE),0)</f>
        <v>0</v>
      </c>
      <c r="J221" s="263">
        <f>IFERROR(VLOOKUP(A221,Cargas!$B$3:$I$93,5,FALSE),0)</f>
        <v>0</v>
      </c>
      <c r="K221" s="263">
        <f>IFERROR(VLOOKUP(A221,Cargas!$B$3:$I$93,6,FALSE),0)</f>
        <v>0</v>
      </c>
      <c r="L221" s="263">
        <f>IFERROR(VLOOKUP(A221,Cargas!$B$3:$I$93,7,FALSE),0)</f>
        <v>0</v>
      </c>
      <c r="AB221" s="123">
        <f t="shared" ref="AB221:AG285" si="15">+G221/G$9</f>
        <v>0</v>
      </c>
      <c r="AC221" s="123">
        <f t="shared" si="15"/>
        <v>0</v>
      </c>
      <c r="AD221" s="123">
        <f t="shared" si="15"/>
        <v>0</v>
      </c>
      <c r="AE221" s="123">
        <f t="shared" si="14"/>
        <v>0</v>
      </c>
      <c r="AF221" s="123">
        <f t="shared" si="14"/>
        <v>0</v>
      </c>
      <c r="AG221" s="123">
        <f t="shared" si="14"/>
        <v>0</v>
      </c>
      <c r="AH221" s="122">
        <f t="shared" si="12"/>
        <v>0</v>
      </c>
    </row>
    <row r="222" spans="1:34" s="75" customFormat="1" ht="15.75">
      <c r="A222" s="125">
        <v>231</v>
      </c>
      <c r="B222" s="78"/>
      <c r="C222" s="98" t="s">
        <v>199</v>
      </c>
      <c r="D222" s="275"/>
      <c r="E222" s="263">
        <f t="shared" si="13"/>
        <v>0</v>
      </c>
      <c r="F222" s="263"/>
      <c r="G222" s="263"/>
      <c r="H222" s="263">
        <f>IFERROR(VLOOKUP(A222,Cargas!$B$3:$I$93,3,FALSE),0)</f>
        <v>0</v>
      </c>
      <c r="I222" s="263">
        <f>IFERROR(VLOOKUP(A222,Cargas!$B$3:$I$93,4,FALSE),0)</f>
        <v>0</v>
      </c>
      <c r="J222" s="263">
        <f>IFERROR(VLOOKUP(A222,Cargas!$B$3:$I$93,5,FALSE),0)</f>
        <v>0</v>
      </c>
      <c r="K222" s="263">
        <f>IFERROR(VLOOKUP(A222,Cargas!$B$3:$I$93,6,FALSE),0)</f>
        <v>0</v>
      </c>
      <c r="L222" s="263">
        <f>IFERROR(VLOOKUP(A222,Cargas!$B$3:$I$93,7,FALSE),0)</f>
        <v>0</v>
      </c>
      <c r="AB222" s="123">
        <f t="shared" si="15"/>
        <v>0</v>
      </c>
      <c r="AC222" s="123">
        <f t="shared" si="15"/>
        <v>0</v>
      </c>
      <c r="AD222" s="123">
        <f t="shared" si="15"/>
        <v>0</v>
      </c>
      <c r="AE222" s="123">
        <f t="shared" si="14"/>
        <v>0</v>
      </c>
      <c r="AF222" s="123">
        <f t="shared" si="14"/>
        <v>0</v>
      </c>
      <c r="AG222" s="123">
        <f t="shared" si="14"/>
        <v>0</v>
      </c>
      <c r="AH222" s="122">
        <f t="shared" si="12"/>
        <v>0</v>
      </c>
    </row>
    <row r="223" spans="1:34" s="74" customFormat="1" ht="15.75">
      <c r="A223" s="125">
        <v>232</v>
      </c>
      <c r="B223" s="78"/>
      <c r="C223" s="127" t="s">
        <v>200</v>
      </c>
      <c r="D223" s="273"/>
      <c r="E223" s="263">
        <f t="shared" si="13"/>
        <v>0</v>
      </c>
      <c r="F223" s="263"/>
      <c r="G223" s="263"/>
      <c r="H223" s="263">
        <f>IFERROR(VLOOKUP(A223,Cargas!$B$3:$I$93,3,FALSE),0)</f>
        <v>0</v>
      </c>
      <c r="I223" s="263">
        <f>IFERROR(VLOOKUP(A223,Cargas!$B$3:$I$93,4,FALSE),0)</f>
        <v>0</v>
      </c>
      <c r="J223" s="263">
        <f>IFERROR(VLOOKUP(A223,Cargas!$B$3:$I$93,5,FALSE),0)</f>
        <v>0</v>
      </c>
      <c r="K223" s="263">
        <f>IFERROR(VLOOKUP(A223,Cargas!$B$3:$I$93,6,FALSE),0)</f>
        <v>0</v>
      </c>
      <c r="L223" s="263">
        <f>IFERROR(VLOOKUP(A223,Cargas!$B$3:$I$93,7,FALSE),0)</f>
        <v>0</v>
      </c>
      <c r="AB223" s="123">
        <f t="shared" si="15"/>
        <v>0</v>
      </c>
      <c r="AC223" s="123">
        <f t="shared" si="15"/>
        <v>0</v>
      </c>
      <c r="AD223" s="123">
        <f t="shared" si="15"/>
        <v>0</v>
      </c>
      <c r="AE223" s="123">
        <f t="shared" si="14"/>
        <v>0</v>
      </c>
      <c r="AF223" s="123">
        <f t="shared" si="14"/>
        <v>0</v>
      </c>
      <c r="AG223" s="123">
        <f t="shared" si="14"/>
        <v>0</v>
      </c>
      <c r="AH223" s="122">
        <f t="shared" si="12"/>
        <v>0</v>
      </c>
    </row>
    <row r="224" spans="1:34" s="75" customFormat="1" ht="15.75">
      <c r="A224" s="125">
        <v>233</v>
      </c>
      <c r="B224" s="78"/>
      <c r="C224" s="127" t="s">
        <v>201</v>
      </c>
      <c r="D224" s="273"/>
      <c r="E224" s="263">
        <f t="shared" si="13"/>
        <v>0</v>
      </c>
      <c r="F224" s="263"/>
      <c r="G224" s="263"/>
      <c r="H224" s="263">
        <f>IFERROR(VLOOKUP(A224,Cargas!$B$3:$I$93,3,FALSE),0)</f>
        <v>0</v>
      </c>
      <c r="I224" s="263">
        <f>IFERROR(VLOOKUP(A224,Cargas!$B$3:$I$93,4,FALSE),0)</f>
        <v>0</v>
      </c>
      <c r="J224" s="263">
        <f>IFERROR(VLOOKUP(A224,Cargas!$B$3:$I$93,5,FALSE),0)</f>
        <v>0</v>
      </c>
      <c r="K224" s="263">
        <f>IFERROR(VLOOKUP(A224,Cargas!$B$3:$I$93,6,FALSE),0)</f>
        <v>0</v>
      </c>
      <c r="L224" s="263">
        <f>IFERROR(VLOOKUP(A224,Cargas!$B$3:$I$93,7,FALSE),0)</f>
        <v>0</v>
      </c>
      <c r="AB224" s="123">
        <f t="shared" si="15"/>
        <v>0</v>
      </c>
      <c r="AC224" s="123">
        <f t="shared" si="15"/>
        <v>0</v>
      </c>
      <c r="AD224" s="123">
        <f t="shared" si="15"/>
        <v>0</v>
      </c>
      <c r="AE224" s="123">
        <f t="shared" si="14"/>
        <v>0</v>
      </c>
      <c r="AF224" s="123">
        <f t="shared" si="14"/>
        <v>0</v>
      </c>
      <c r="AG224" s="123">
        <f t="shared" si="14"/>
        <v>0</v>
      </c>
      <c r="AH224" s="122">
        <f t="shared" si="12"/>
        <v>0</v>
      </c>
    </row>
    <row r="225" spans="1:34" s="75" customFormat="1" ht="15.75">
      <c r="A225" s="125">
        <v>234</v>
      </c>
      <c r="B225" s="78"/>
      <c r="C225" s="98" t="s">
        <v>202</v>
      </c>
      <c r="D225" s="275"/>
      <c r="E225" s="263">
        <f t="shared" si="13"/>
        <v>0</v>
      </c>
      <c r="F225" s="266"/>
      <c r="G225" s="263"/>
      <c r="H225" s="263">
        <f>IFERROR(VLOOKUP(A225,Cargas!$B$3:$I$93,3,FALSE),0)</f>
        <v>0</v>
      </c>
      <c r="I225" s="263">
        <f>IFERROR(VLOOKUP(A225,Cargas!$B$3:$I$93,4,FALSE),0)</f>
        <v>0</v>
      </c>
      <c r="J225" s="263">
        <f>IFERROR(VLOOKUP(A225,Cargas!$B$3:$I$93,5,FALSE),0)</f>
        <v>0</v>
      </c>
      <c r="K225" s="263">
        <f>IFERROR(VLOOKUP(A225,Cargas!$B$3:$I$93,6,FALSE),0)</f>
        <v>0</v>
      </c>
      <c r="L225" s="263">
        <f>IFERROR(VLOOKUP(A225,Cargas!$B$3:$I$93,7,FALSE),0)</f>
        <v>0</v>
      </c>
      <c r="AB225" s="123">
        <f t="shared" si="15"/>
        <v>0</v>
      </c>
      <c r="AC225" s="123">
        <f t="shared" si="15"/>
        <v>0</v>
      </c>
      <c r="AD225" s="123">
        <f t="shared" si="15"/>
        <v>0</v>
      </c>
      <c r="AE225" s="123">
        <f t="shared" si="14"/>
        <v>0</v>
      </c>
      <c r="AF225" s="123">
        <f t="shared" si="14"/>
        <v>0</v>
      </c>
      <c r="AG225" s="123">
        <f t="shared" si="14"/>
        <v>0</v>
      </c>
      <c r="AH225" s="122">
        <f t="shared" si="12"/>
        <v>0</v>
      </c>
    </row>
    <row r="226" spans="1:34" s="74" customFormat="1" ht="15.75">
      <c r="A226" s="125">
        <v>235</v>
      </c>
      <c r="B226" s="78"/>
      <c r="C226" s="127" t="s">
        <v>203</v>
      </c>
      <c r="D226" s="275"/>
      <c r="E226" s="263">
        <f t="shared" si="13"/>
        <v>0</v>
      </c>
      <c r="F226" s="263"/>
      <c r="G226" s="263"/>
      <c r="H226" s="263">
        <f>IFERROR(VLOOKUP(A226,Cargas!$B$3:$I$93,3,FALSE),0)</f>
        <v>0</v>
      </c>
      <c r="I226" s="263">
        <f>IFERROR(VLOOKUP(A226,Cargas!$B$3:$I$93,4,FALSE),0)</f>
        <v>0</v>
      </c>
      <c r="J226" s="263">
        <f>IFERROR(VLOOKUP(A226,Cargas!$B$3:$I$93,5,FALSE),0)</f>
        <v>0</v>
      </c>
      <c r="K226" s="263">
        <f>IFERROR(VLOOKUP(A226,Cargas!$B$3:$I$93,6,FALSE),0)</f>
        <v>0</v>
      </c>
      <c r="L226" s="263">
        <f>IFERROR(VLOOKUP(A226,Cargas!$B$3:$I$93,7,FALSE),0)</f>
        <v>0</v>
      </c>
      <c r="AB226" s="123">
        <f t="shared" si="15"/>
        <v>0</v>
      </c>
      <c r="AC226" s="123">
        <f t="shared" si="15"/>
        <v>0</v>
      </c>
      <c r="AD226" s="123">
        <f t="shared" si="15"/>
        <v>0</v>
      </c>
      <c r="AE226" s="123">
        <f t="shared" si="14"/>
        <v>0</v>
      </c>
      <c r="AF226" s="123">
        <f t="shared" si="14"/>
        <v>0</v>
      </c>
      <c r="AG226" s="123">
        <f t="shared" si="14"/>
        <v>0</v>
      </c>
      <c r="AH226" s="122">
        <f t="shared" si="12"/>
        <v>0</v>
      </c>
    </row>
    <row r="227" spans="1:34" s="75" customFormat="1" ht="15.75">
      <c r="A227" s="125">
        <v>236</v>
      </c>
      <c r="B227" s="78"/>
      <c r="C227" s="127" t="s">
        <v>204</v>
      </c>
      <c r="D227" s="275"/>
      <c r="E227" s="263">
        <f t="shared" si="13"/>
        <v>0</v>
      </c>
      <c r="F227" s="266"/>
      <c r="G227" s="263"/>
      <c r="H227" s="263">
        <f>IFERROR(VLOOKUP(A227,Cargas!$B$3:$I$93,3,FALSE),0)</f>
        <v>0</v>
      </c>
      <c r="I227" s="263">
        <f>IFERROR(VLOOKUP(A227,Cargas!$B$3:$I$93,4,FALSE),0)</f>
        <v>0</v>
      </c>
      <c r="J227" s="263">
        <f>IFERROR(VLOOKUP(A227,Cargas!$B$3:$I$93,5,FALSE),0)</f>
        <v>0</v>
      </c>
      <c r="K227" s="263">
        <f>IFERROR(VLOOKUP(A227,Cargas!$B$3:$I$93,6,FALSE),0)</f>
        <v>0</v>
      </c>
      <c r="L227" s="263">
        <f>IFERROR(VLOOKUP(A227,Cargas!$B$3:$I$93,7,FALSE),0)</f>
        <v>0</v>
      </c>
      <c r="AB227" s="123">
        <f t="shared" si="15"/>
        <v>0</v>
      </c>
      <c r="AC227" s="123">
        <f t="shared" si="15"/>
        <v>0</v>
      </c>
      <c r="AD227" s="123">
        <f t="shared" si="15"/>
        <v>0</v>
      </c>
      <c r="AE227" s="123">
        <f t="shared" si="14"/>
        <v>0</v>
      </c>
      <c r="AF227" s="123">
        <f t="shared" si="14"/>
        <v>0</v>
      </c>
      <c r="AG227" s="123">
        <f t="shared" si="14"/>
        <v>0</v>
      </c>
      <c r="AH227" s="122">
        <f t="shared" si="12"/>
        <v>0</v>
      </c>
    </row>
    <row r="228" spans="1:34" s="75" customFormat="1" ht="15.75">
      <c r="A228" s="125">
        <v>237</v>
      </c>
      <c r="B228" s="78"/>
      <c r="C228" s="98" t="s">
        <v>239</v>
      </c>
      <c r="D228" s="275"/>
      <c r="E228" s="263">
        <f t="shared" si="13"/>
        <v>0</v>
      </c>
      <c r="F228" s="263"/>
      <c r="G228" s="263"/>
      <c r="H228" s="263">
        <f>IFERROR(VLOOKUP(A228,Cargas!$B$3:$I$93,3,FALSE),0)</f>
        <v>0</v>
      </c>
      <c r="I228" s="263">
        <f>IFERROR(VLOOKUP(A228,Cargas!$B$3:$I$93,4,FALSE),0)</f>
        <v>0</v>
      </c>
      <c r="J228" s="263">
        <f>IFERROR(VLOOKUP(A228,Cargas!$B$3:$I$93,5,FALSE),0)</f>
        <v>0</v>
      </c>
      <c r="K228" s="263">
        <f>IFERROR(VLOOKUP(A228,Cargas!$B$3:$I$93,6,FALSE),0)</f>
        <v>0</v>
      </c>
      <c r="L228" s="263">
        <f>IFERROR(VLOOKUP(A228,Cargas!$B$3:$I$93,7,FALSE),0)</f>
        <v>0</v>
      </c>
      <c r="AB228" s="123">
        <f t="shared" si="15"/>
        <v>0</v>
      </c>
      <c r="AC228" s="123">
        <f t="shared" si="15"/>
        <v>0</v>
      </c>
      <c r="AD228" s="123">
        <f t="shared" si="15"/>
        <v>0</v>
      </c>
      <c r="AE228" s="123">
        <f t="shared" si="14"/>
        <v>0</v>
      </c>
      <c r="AF228" s="123">
        <f t="shared" si="14"/>
        <v>0</v>
      </c>
      <c r="AG228" s="123">
        <f t="shared" si="14"/>
        <v>0</v>
      </c>
      <c r="AH228" s="122">
        <f t="shared" si="12"/>
        <v>0</v>
      </c>
    </row>
    <row r="229" spans="1:34" s="74" customFormat="1" ht="15.75">
      <c r="A229" s="125">
        <v>238</v>
      </c>
      <c r="B229" s="78"/>
      <c r="C229" s="98" t="s">
        <v>240</v>
      </c>
      <c r="D229" s="275"/>
      <c r="E229" s="263">
        <f t="shared" si="13"/>
        <v>0</v>
      </c>
      <c r="F229" s="263"/>
      <c r="G229" s="263"/>
      <c r="H229" s="263">
        <f>IFERROR(VLOOKUP(A229,Cargas!$B$3:$I$93,3,FALSE),0)</f>
        <v>0</v>
      </c>
      <c r="I229" s="263">
        <f>IFERROR(VLOOKUP(A229,Cargas!$B$3:$I$93,4,FALSE),0)</f>
        <v>0</v>
      </c>
      <c r="J229" s="263">
        <f>IFERROR(VLOOKUP(A229,Cargas!$B$3:$I$93,5,FALSE),0)</f>
        <v>0</v>
      </c>
      <c r="K229" s="263">
        <f>IFERROR(VLOOKUP(A229,Cargas!$B$3:$I$93,6,FALSE),0)</f>
        <v>0</v>
      </c>
      <c r="L229" s="263">
        <f>IFERROR(VLOOKUP(A229,Cargas!$B$3:$I$93,7,FALSE),0)</f>
        <v>0</v>
      </c>
      <c r="AB229" s="123">
        <f t="shared" si="15"/>
        <v>0</v>
      </c>
      <c r="AC229" s="123">
        <f t="shared" si="15"/>
        <v>0</v>
      </c>
      <c r="AD229" s="123">
        <f t="shared" si="15"/>
        <v>0</v>
      </c>
      <c r="AE229" s="123">
        <f t="shared" si="14"/>
        <v>0</v>
      </c>
      <c r="AF229" s="123">
        <f t="shared" si="14"/>
        <v>0</v>
      </c>
      <c r="AG229" s="123">
        <f t="shared" si="14"/>
        <v>0</v>
      </c>
      <c r="AH229" s="122">
        <f t="shared" si="12"/>
        <v>0</v>
      </c>
    </row>
    <row r="230" spans="1:34" s="75" customFormat="1" ht="15.75">
      <c r="A230" s="125">
        <v>239</v>
      </c>
      <c r="B230" s="78"/>
      <c r="C230" s="98" t="s">
        <v>205</v>
      </c>
      <c r="D230" s="275"/>
      <c r="E230" s="263">
        <f t="shared" si="13"/>
        <v>0</v>
      </c>
      <c r="F230" s="266"/>
      <c r="G230" s="263"/>
      <c r="H230" s="263">
        <f>IFERROR(VLOOKUP(A230,Cargas!$B$3:$I$93,3,FALSE),0)</f>
        <v>0</v>
      </c>
      <c r="I230" s="263">
        <f>IFERROR(VLOOKUP(A230,Cargas!$B$3:$I$93,4,FALSE),0)</f>
        <v>0</v>
      </c>
      <c r="J230" s="263">
        <f>IFERROR(VLOOKUP(A230,Cargas!$B$3:$I$93,5,FALSE),0)</f>
        <v>0</v>
      </c>
      <c r="K230" s="263">
        <f>IFERROR(VLOOKUP(A230,Cargas!$B$3:$I$93,6,FALSE),0)</f>
        <v>0</v>
      </c>
      <c r="L230" s="263">
        <f>IFERROR(VLOOKUP(A230,Cargas!$B$3:$I$93,7,FALSE),0)</f>
        <v>0</v>
      </c>
      <c r="AB230" s="123">
        <f t="shared" si="15"/>
        <v>0</v>
      </c>
      <c r="AC230" s="123">
        <f t="shared" si="15"/>
        <v>0</v>
      </c>
      <c r="AD230" s="123">
        <f t="shared" si="15"/>
        <v>0</v>
      </c>
      <c r="AE230" s="123">
        <f t="shared" si="14"/>
        <v>0</v>
      </c>
      <c r="AF230" s="123">
        <f t="shared" si="14"/>
        <v>0</v>
      </c>
      <c r="AG230" s="123">
        <f t="shared" si="14"/>
        <v>0</v>
      </c>
      <c r="AH230" s="122">
        <f t="shared" si="12"/>
        <v>0</v>
      </c>
    </row>
    <row r="231" spans="1:34" s="75" customFormat="1" ht="15.75">
      <c r="A231" s="125">
        <v>240</v>
      </c>
      <c r="B231" s="78"/>
      <c r="C231" s="98" t="s">
        <v>206</v>
      </c>
      <c r="D231" s="275"/>
      <c r="E231" s="263">
        <f t="shared" si="13"/>
        <v>0</v>
      </c>
      <c r="F231" s="266"/>
      <c r="G231" s="263"/>
      <c r="H231" s="263">
        <f>IFERROR(VLOOKUP(A231,Cargas!$B$3:$I$93,3,FALSE),0)</f>
        <v>0</v>
      </c>
      <c r="I231" s="263">
        <f>IFERROR(VLOOKUP(A231,Cargas!$B$3:$I$93,4,FALSE),0)</f>
        <v>0</v>
      </c>
      <c r="J231" s="263">
        <f>IFERROR(VLOOKUP(A231,Cargas!$B$3:$I$93,5,FALSE),0)</f>
        <v>0</v>
      </c>
      <c r="K231" s="263">
        <f>IFERROR(VLOOKUP(A231,Cargas!$B$3:$I$93,6,FALSE),0)</f>
        <v>0</v>
      </c>
      <c r="L231" s="263">
        <f>IFERROR(VLOOKUP(A231,Cargas!$B$3:$I$93,7,FALSE),0)</f>
        <v>0</v>
      </c>
      <c r="AB231" s="123">
        <f t="shared" si="15"/>
        <v>0</v>
      </c>
      <c r="AC231" s="123">
        <f t="shared" si="15"/>
        <v>0</v>
      </c>
      <c r="AD231" s="123">
        <f t="shared" si="15"/>
        <v>0</v>
      </c>
      <c r="AE231" s="123">
        <f t="shared" si="14"/>
        <v>0</v>
      </c>
      <c r="AF231" s="123">
        <f t="shared" si="14"/>
        <v>0</v>
      </c>
      <c r="AG231" s="123">
        <f t="shared" si="14"/>
        <v>0</v>
      </c>
      <c r="AH231" s="122">
        <f t="shared" si="12"/>
        <v>0</v>
      </c>
    </row>
    <row r="232" spans="1:34" s="74" customFormat="1" ht="15.75">
      <c r="A232" s="125">
        <v>241</v>
      </c>
      <c r="B232" s="78"/>
      <c r="C232" s="98" t="s">
        <v>223</v>
      </c>
      <c r="D232" s="275"/>
      <c r="E232" s="263">
        <f t="shared" si="13"/>
        <v>0</v>
      </c>
      <c r="F232" s="266"/>
      <c r="G232" s="263"/>
      <c r="H232" s="263">
        <f>IFERROR(VLOOKUP(A232,Cargas!$B$3:$I$93,3,FALSE),0)</f>
        <v>0</v>
      </c>
      <c r="I232" s="263">
        <f>IFERROR(VLOOKUP(A232,Cargas!$B$3:$I$93,4,FALSE),0)</f>
        <v>0</v>
      </c>
      <c r="J232" s="263">
        <f>IFERROR(VLOOKUP(A232,Cargas!$B$3:$I$93,5,FALSE),0)</f>
        <v>0</v>
      </c>
      <c r="K232" s="263">
        <f>IFERROR(VLOOKUP(A232,Cargas!$B$3:$I$93,6,FALSE),0)</f>
        <v>0</v>
      </c>
      <c r="L232" s="263">
        <f>IFERROR(VLOOKUP(A232,Cargas!$B$3:$I$93,7,FALSE),0)</f>
        <v>0</v>
      </c>
      <c r="AB232" s="123">
        <f t="shared" si="15"/>
        <v>0</v>
      </c>
      <c r="AC232" s="123">
        <f t="shared" si="15"/>
        <v>0</v>
      </c>
      <c r="AD232" s="123">
        <f t="shared" si="15"/>
        <v>0</v>
      </c>
      <c r="AE232" s="123">
        <f t="shared" si="14"/>
        <v>0</v>
      </c>
      <c r="AF232" s="123">
        <f t="shared" si="14"/>
        <v>0</v>
      </c>
      <c r="AG232" s="123">
        <f t="shared" si="14"/>
        <v>0</v>
      </c>
      <c r="AH232" s="122">
        <f t="shared" si="12"/>
        <v>0</v>
      </c>
    </row>
    <row r="233" spans="1:34" s="75" customFormat="1" ht="15.75">
      <c r="A233" s="125">
        <v>242</v>
      </c>
      <c r="B233" s="78"/>
      <c r="C233" s="98" t="s">
        <v>263</v>
      </c>
      <c r="D233" s="275"/>
      <c r="E233" s="263">
        <f t="shared" si="13"/>
        <v>0</v>
      </c>
      <c r="F233" s="266"/>
      <c r="G233" s="263"/>
      <c r="H233" s="263">
        <f>IFERROR(VLOOKUP(A233,Cargas!$B$3:$I$93,3,FALSE),0)</f>
        <v>0</v>
      </c>
      <c r="I233" s="263">
        <f>IFERROR(VLOOKUP(A233,Cargas!$B$3:$I$93,4,FALSE),0)</f>
        <v>0</v>
      </c>
      <c r="J233" s="263">
        <f>IFERROR(VLOOKUP(A233,Cargas!$B$3:$I$93,5,FALSE),0)</f>
        <v>0</v>
      </c>
      <c r="K233" s="263">
        <f>IFERROR(VLOOKUP(A233,Cargas!$B$3:$I$93,6,FALSE),0)</f>
        <v>0</v>
      </c>
      <c r="L233" s="263">
        <f>IFERROR(VLOOKUP(A233,Cargas!$B$3:$I$93,7,FALSE),0)</f>
        <v>0</v>
      </c>
      <c r="AB233" s="123">
        <f t="shared" si="15"/>
        <v>0</v>
      </c>
      <c r="AC233" s="123">
        <f t="shared" si="15"/>
        <v>0</v>
      </c>
      <c r="AD233" s="123">
        <f t="shared" si="15"/>
        <v>0</v>
      </c>
      <c r="AE233" s="123">
        <f t="shared" si="14"/>
        <v>0</v>
      </c>
      <c r="AF233" s="123">
        <f t="shared" si="14"/>
        <v>0</v>
      </c>
      <c r="AG233" s="123">
        <f t="shared" si="14"/>
        <v>0</v>
      </c>
      <c r="AH233" s="122">
        <f t="shared" si="12"/>
        <v>0</v>
      </c>
    </row>
    <row r="234" spans="1:34" s="75" customFormat="1" ht="15.75">
      <c r="A234" s="125">
        <v>243</v>
      </c>
      <c r="B234" s="78"/>
      <c r="C234" s="98" t="s">
        <v>207</v>
      </c>
      <c r="D234" s="275"/>
      <c r="E234" s="263">
        <f t="shared" si="13"/>
        <v>0</v>
      </c>
      <c r="F234" s="263"/>
      <c r="G234" s="263"/>
      <c r="H234" s="263">
        <f>IFERROR(VLOOKUP(A234,Cargas!$B$3:$I$93,3,FALSE),0)</f>
        <v>0</v>
      </c>
      <c r="I234" s="263">
        <f>IFERROR(VLOOKUP(A234,Cargas!$B$3:$I$93,4,FALSE),0)</f>
        <v>0</v>
      </c>
      <c r="J234" s="263">
        <f>IFERROR(VLOOKUP(A234,Cargas!$B$3:$I$93,5,FALSE),0)</f>
        <v>0</v>
      </c>
      <c r="K234" s="263">
        <f>IFERROR(VLOOKUP(A234,Cargas!$B$3:$I$93,6,FALSE),0)</f>
        <v>0</v>
      </c>
      <c r="L234" s="263">
        <f>IFERROR(VLOOKUP(A234,Cargas!$B$3:$I$93,7,FALSE),0)</f>
        <v>0</v>
      </c>
      <c r="AB234" s="123">
        <f t="shared" si="15"/>
        <v>0</v>
      </c>
      <c r="AC234" s="123">
        <f t="shared" si="15"/>
        <v>0</v>
      </c>
      <c r="AD234" s="123">
        <f t="shared" si="15"/>
        <v>0</v>
      </c>
      <c r="AE234" s="123">
        <f t="shared" si="14"/>
        <v>0</v>
      </c>
      <c r="AF234" s="123">
        <f t="shared" si="14"/>
        <v>0</v>
      </c>
      <c r="AG234" s="123">
        <f t="shared" si="14"/>
        <v>0</v>
      </c>
      <c r="AH234" s="122">
        <f t="shared" si="12"/>
        <v>0</v>
      </c>
    </row>
    <row r="235" spans="1:34" s="74" customFormat="1" ht="15.75">
      <c r="A235" s="125">
        <v>244</v>
      </c>
      <c r="B235" s="78"/>
      <c r="C235" s="129" t="s">
        <v>208</v>
      </c>
      <c r="D235" s="275"/>
      <c r="E235" s="263">
        <f t="shared" si="13"/>
        <v>0</v>
      </c>
      <c r="F235" s="266"/>
      <c r="G235" s="263"/>
      <c r="H235" s="263">
        <f>IFERROR(VLOOKUP(A235,Cargas!$B$3:$I$93,3,FALSE),0)</f>
        <v>0</v>
      </c>
      <c r="I235" s="263">
        <f>IFERROR(VLOOKUP(A235,Cargas!$B$3:$I$93,4,FALSE),0)</f>
        <v>0</v>
      </c>
      <c r="J235" s="263">
        <f>IFERROR(VLOOKUP(A235,Cargas!$B$3:$I$93,5,FALSE),0)</f>
        <v>0</v>
      </c>
      <c r="K235" s="263">
        <f>IFERROR(VLOOKUP(A235,Cargas!$B$3:$I$93,6,FALSE),0)</f>
        <v>0</v>
      </c>
      <c r="L235" s="263">
        <f>IFERROR(VLOOKUP(A235,Cargas!$B$3:$I$93,7,FALSE),0)</f>
        <v>0</v>
      </c>
      <c r="AB235" s="123">
        <f t="shared" si="15"/>
        <v>0</v>
      </c>
      <c r="AC235" s="123">
        <f t="shared" si="15"/>
        <v>0</v>
      </c>
      <c r="AD235" s="123">
        <f t="shared" si="15"/>
        <v>0</v>
      </c>
      <c r="AE235" s="123">
        <f t="shared" si="14"/>
        <v>0</v>
      </c>
      <c r="AF235" s="123">
        <f t="shared" si="14"/>
        <v>0</v>
      </c>
      <c r="AG235" s="123">
        <f t="shared" si="14"/>
        <v>0</v>
      </c>
      <c r="AH235" s="122">
        <f t="shared" si="12"/>
        <v>0</v>
      </c>
    </row>
    <row r="236" spans="1:34" s="75" customFormat="1" ht="15.75">
      <c r="A236" s="125">
        <v>245</v>
      </c>
      <c r="B236" s="78"/>
      <c r="C236" s="127" t="s">
        <v>209</v>
      </c>
      <c r="D236" s="273"/>
      <c r="E236" s="263">
        <f t="shared" si="13"/>
        <v>0</v>
      </c>
      <c r="F236" s="266"/>
      <c r="G236" s="263"/>
      <c r="H236" s="263">
        <f>IFERROR(VLOOKUP(A236,Cargas!$B$3:$I$93,3,FALSE),0)</f>
        <v>0</v>
      </c>
      <c r="I236" s="263">
        <f>IFERROR(VLOOKUP(A236,Cargas!$B$3:$I$93,4,FALSE),0)</f>
        <v>0</v>
      </c>
      <c r="J236" s="263">
        <f>IFERROR(VLOOKUP(A236,Cargas!$B$3:$I$93,5,FALSE),0)</f>
        <v>0</v>
      </c>
      <c r="K236" s="263">
        <f>IFERROR(VLOOKUP(A236,Cargas!$B$3:$I$93,6,FALSE),0)</f>
        <v>0</v>
      </c>
      <c r="L236" s="263">
        <f>IFERROR(VLOOKUP(A236,Cargas!$B$3:$I$93,7,FALSE),0)</f>
        <v>0</v>
      </c>
      <c r="AB236" s="123">
        <f t="shared" si="15"/>
        <v>0</v>
      </c>
      <c r="AC236" s="123">
        <f t="shared" si="15"/>
        <v>0</v>
      </c>
      <c r="AD236" s="123">
        <f t="shared" si="15"/>
        <v>0</v>
      </c>
      <c r="AE236" s="123">
        <f t="shared" si="14"/>
        <v>0</v>
      </c>
      <c r="AF236" s="123">
        <f t="shared" si="14"/>
        <v>0</v>
      </c>
      <c r="AG236" s="123">
        <f t="shared" si="14"/>
        <v>0</v>
      </c>
      <c r="AH236" s="122">
        <f t="shared" si="12"/>
        <v>0</v>
      </c>
    </row>
    <row r="237" spans="1:34" s="75" customFormat="1" ht="15.75">
      <c r="A237" s="125">
        <v>246</v>
      </c>
      <c r="B237" s="78"/>
      <c r="C237" s="127" t="s">
        <v>210</v>
      </c>
      <c r="D237" s="273"/>
      <c r="E237" s="263">
        <f t="shared" si="13"/>
        <v>0</v>
      </c>
      <c r="F237" s="266"/>
      <c r="G237" s="263"/>
      <c r="H237" s="263">
        <f>IFERROR(VLOOKUP(A237,Cargas!$B$3:$I$93,3,FALSE),0)</f>
        <v>0</v>
      </c>
      <c r="I237" s="263">
        <f>IFERROR(VLOOKUP(A237,Cargas!$B$3:$I$93,4,FALSE),0)</f>
        <v>0</v>
      </c>
      <c r="J237" s="263">
        <f>IFERROR(VLOOKUP(A237,Cargas!$B$3:$I$93,5,FALSE),0)</f>
        <v>0</v>
      </c>
      <c r="K237" s="263">
        <f>IFERROR(VLOOKUP(A237,Cargas!$B$3:$I$93,6,FALSE),0)</f>
        <v>0</v>
      </c>
      <c r="L237" s="263">
        <f>IFERROR(VLOOKUP(A237,Cargas!$B$3:$I$93,7,FALSE),0)</f>
        <v>0</v>
      </c>
      <c r="AB237" s="123">
        <f t="shared" si="15"/>
        <v>0</v>
      </c>
      <c r="AC237" s="123">
        <f t="shared" si="15"/>
        <v>0</v>
      </c>
      <c r="AD237" s="123">
        <f t="shared" si="15"/>
        <v>0</v>
      </c>
      <c r="AE237" s="123">
        <f t="shared" si="14"/>
        <v>0</v>
      </c>
      <c r="AF237" s="123">
        <f t="shared" si="14"/>
        <v>0</v>
      </c>
      <c r="AG237" s="123">
        <f t="shared" si="14"/>
        <v>0</v>
      </c>
      <c r="AH237" s="122">
        <f t="shared" si="12"/>
        <v>0</v>
      </c>
    </row>
    <row r="238" spans="1:34" s="74" customFormat="1" ht="15.75">
      <c r="A238" s="125">
        <v>247</v>
      </c>
      <c r="B238" s="78"/>
      <c r="C238" s="98" t="s">
        <v>256</v>
      </c>
      <c r="D238" s="275"/>
      <c r="E238" s="263">
        <f t="shared" si="13"/>
        <v>0</v>
      </c>
      <c r="F238" s="263"/>
      <c r="G238" s="263"/>
      <c r="H238" s="263">
        <f>IFERROR(VLOOKUP(A238,Cargas!$B$3:$I$93,3,FALSE),0)</f>
        <v>0</v>
      </c>
      <c r="I238" s="263">
        <f>IFERROR(VLOOKUP(A238,Cargas!$B$3:$I$93,4,FALSE),0)</f>
        <v>0</v>
      </c>
      <c r="J238" s="263">
        <f>IFERROR(VLOOKUP(A238,Cargas!$B$3:$I$93,5,FALSE),0)</f>
        <v>0</v>
      </c>
      <c r="K238" s="263">
        <f>IFERROR(VLOOKUP(A238,Cargas!$B$3:$I$93,6,FALSE),0)</f>
        <v>0</v>
      </c>
      <c r="L238" s="263">
        <f>IFERROR(VLOOKUP(A238,Cargas!$B$3:$I$93,7,FALSE),0)</f>
        <v>0</v>
      </c>
      <c r="AB238" s="123">
        <f t="shared" si="15"/>
        <v>0</v>
      </c>
      <c r="AC238" s="123">
        <f t="shared" si="15"/>
        <v>0</v>
      </c>
      <c r="AD238" s="123">
        <f t="shared" si="15"/>
        <v>0</v>
      </c>
      <c r="AE238" s="123">
        <f t="shared" si="14"/>
        <v>0</v>
      </c>
      <c r="AF238" s="123">
        <f t="shared" si="14"/>
        <v>0</v>
      </c>
      <c r="AG238" s="123">
        <f t="shared" si="14"/>
        <v>0</v>
      </c>
      <c r="AH238" s="122">
        <f t="shared" si="12"/>
        <v>0</v>
      </c>
    </row>
    <row r="239" spans="1:34" s="75" customFormat="1" ht="15.75">
      <c r="A239" s="125">
        <v>248</v>
      </c>
      <c r="B239" s="78"/>
      <c r="C239" s="98" t="s">
        <v>257</v>
      </c>
      <c r="D239" s="275"/>
      <c r="E239" s="263">
        <f t="shared" si="13"/>
        <v>0</v>
      </c>
      <c r="F239" s="263"/>
      <c r="G239" s="263"/>
      <c r="H239" s="263">
        <f>IFERROR(VLOOKUP(A239,Cargas!$B$3:$I$93,3,FALSE),0)</f>
        <v>0</v>
      </c>
      <c r="I239" s="263">
        <f>IFERROR(VLOOKUP(A239,Cargas!$B$3:$I$93,4,FALSE),0)</f>
        <v>0</v>
      </c>
      <c r="J239" s="263">
        <f>IFERROR(VLOOKUP(A239,Cargas!$B$3:$I$93,5,FALSE),0)</f>
        <v>0</v>
      </c>
      <c r="K239" s="263">
        <f>IFERROR(VLOOKUP(A239,Cargas!$B$3:$I$93,6,FALSE),0)</f>
        <v>0</v>
      </c>
      <c r="L239" s="263">
        <f>IFERROR(VLOOKUP(A239,Cargas!$B$3:$I$93,7,FALSE),0)</f>
        <v>0</v>
      </c>
      <c r="AB239" s="123">
        <f t="shared" si="15"/>
        <v>0</v>
      </c>
      <c r="AC239" s="123">
        <f t="shared" si="15"/>
        <v>0</v>
      </c>
      <c r="AD239" s="123">
        <f t="shared" si="15"/>
        <v>0</v>
      </c>
      <c r="AE239" s="123">
        <f t="shared" si="14"/>
        <v>0</v>
      </c>
      <c r="AF239" s="123">
        <f t="shared" si="14"/>
        <v>0</v>
      </c>
      <c r="AG239" s="123">
        <f t="shared" si="14"/>
        <v>0</v>
      </c>
      <c r="AH239" s="122">
        <f t="shared" si="12"/>
        <v>0</v>
      </c>
    </row>
    <row r="240" spans="1:34" s="75" customFormat="1" ht="15.75">
      <c r="A240" s="125">
        <v>249</v>
      </c>
      <c r="B240" s="78"/>
      <c r="C240" s="127" t="s">
        <v>258</v>
      </c>
      <c r="D240" s="273"/>
      <c r="E240" s="263">
        <f t="shared" si="13"/>
        <v>0</v>
      </c>
      <c r="F240" s="266"/>
      <c r="G240" s="263"/>
      <c r="H240" s="263">
        <f>IFERROR(VLOOKUP(A240,Cargas!$B$3:$I$93,3,FALSE),0)</f>
        <v>0</v>
      </c>
      <c r="I240" s="263">
        <f>IFERROR(VLOOKUP(A240,Cargas!$B$3:$I$93,4,FALSE),0)</f>
        <v>0</v>
      </c>
      <c r="J240" s="263">
        <f>IFERROR(VLOOKUP(A240,Cargas!$B$3:$I$93,5,FALSE),0)</f>
        <v>0</v>
      </c>
      <c r="K240" s="263">
        <f>IFERROR(VLOOKUP(A240,Cargas!$B$3:$I$93,6,FALSE),0)</f>
        <v>0</v>
      </c>
      <c r="L240" s="263">
        <f>IFERROR(VLOOKUP(A240,Cargas!$B$3:$I$93,7,FALSE),0)</f>
        <v>0</v>
      </c>
      <c r="AB240" s="123">
        <f t="shared" si="15"/>
        <v>0</v>
      </c>
      <c r="AC240" s="123">
        <f t="shared" si="15"/>
        <v>0</v>
      </c>
      <c r="AD240" s="123">
        <f t="shared" si="15"/>
        <v>0</v>
      </c>
      <c r="AE240" s="123">
        <f t="shared" si="14"/>
        <v>0</v>
      </c>
      <c r="AF240" s="123">
        <f t="shared" si="14"/>
        <v>0</v>
      </c>
      <c r="AG240" s="123">
        <f t="shared" si="14"/>
        <v>0</v>
      </c>
      <c r="AH240" s="122">
        <f t="shared" si="12"/>
        <v>0</v>
      </c>
    </row>
    <row r="241" spans="1:34" s="74" customFormat="1" ht="15.75">
      <c r="A241" s="125">
        <v>250</v>
      </c>
      <c r="B241" s="78"/>
      <c r="C241" s="127" t="s">
        <v>259</v>
      </c>
      <c r="D241" s="273"/>
      <c r="E241" s="263">
        <f t="shared" si="13"/>
        <v>0</v>
      </c>
      <c r="F241" s="266"/>
      <c r="G241" s="263"/>
      <c r="H241" s="263">
        <f>IFERROR(VLOOKUP(A241,Cargas!$B$3:$I$93,3,FALSE),0)</f>
        <v>0</v>
      </c>
      <c r="I241" s="263">
        <f>IFERROR(VLOOKUP(A241,Cargas!$B$3:$I$93,4,FALSE),0)</f>
        <v>0</v>
      </c>
      <c r="J241" s="263">
        <f>IFERROR(VLOOKUP(A241,Cargas!$B$3:$I$93,5,FALSE),0)</f>
        <v>0</v>
      </c>
      <c r="K241" s="263">
        <f>IFERROR(VLOOKUP(A241,Cargas!$B$3:$I$93,6,FALSE),0)</f>
        <v>0</v>
      </c>
      <c r="L241" s="263">
        <f>IFERROR(VLOOKUP(A241,Cargas!$B$3:$I$93,7,FALSE),0)</f>
        <v>0</v>
      </c>
      <c r="AB241" s="123">
        <f t="shared" si="15"/>
        <v>0</v>
      </c>
      <c r="AC241" s="123">
        <f t="shared" si="15"/>
        <v>0</v>
      </c>
      <c r="AD241" s="123">
        <f t="shared" si="15"/>
        <v>0</v>
      </c>
      <c r="AE241" s="123">
        <f t="shared" si="14"/>
        <v>0</v>
      </c>
      <c r="AF241" s="123">
        <f t="shared" si="14"/>
        <v>0</v>
      </c>
      <c r="AG241" s="123">
        <f t="shared" si="14"/>
        <v>0</v>
      </c>
      <c r="AH241" s="122">
        <f t="shared" si="12"/>
        <v>0</v>
      </c>
    </row>
    <row r="242" spans="1:34" s="75" customFormat="1" ht="15.75">
      <c r="A242" s="125">
        <v>251</v>
      </c>
      <c r="B242" s="78"/>
      <c r="C242" s="127">
        <v>251</v>
      </c>
      <c r="D242" s="273"/>
      <c r="E242" s="263">
        <f t="shared" si="13"/>
        <v>0</v>
      </c>
      <c r="F242" s="266"/>
      <c r="G242" s="263"/>
      <c r="H242" s="263">
        <f>IFERROR(VLOOKUP(A242,Cargas!$B$3:$I$93,3,FALSE),0)</f>
        <v>0</v>
      </c>
      <c r="I242" s="263">
        <f>IFERROR(VLOOKUP(A242,Cargas!$B$3:$I$93,4,FALSE),0)</f>
        <v>0</v>
      </c>
      <c r="J242" s="263">
        <f>IFERROR(VLOOKUP(A242,Cargas!$B$3:$I$93,5,FALSE),0)</f>
        <v>0</v>
      </c>
      <c r="K242" s="263">
        <f>IFERROR(VLOOKUP(A242,Cargas!$B$3:$I$93,6,FALSE),0)</f>
        <v>0</v>
      </c>
      <c r="L242" s="263">
        <f>IFERROR(VLOOKUP(A242,Cargas!$B$3:$I$93,7,FALSE),0)</f>
        <v>0</v>
      </c>
      <c r="AB242" s="123">
        <f t="shared" si="15"/>
        <v>0</v>
      </c>
      <c r="AC242" s="123">
        <f t="shared" si="15"/>
        <v>0</v>
      </c>
      <c r="AD242" s="123">
        <f t="shared" si="15"/>
        <v>0</v>
      </c>
      <c r="AE242" s="123">
        <f t="shared" si="14"/>
        <v>0</v>
      </c>
      <c r="AF242" s="123">
        <f t="shared" si="14"/>
        <v>0</v>
      </c>
      <c r="AG242" s="123">
        <f t="shared" si="14"/>
        <v>0</v>
      </c>
      <c r="AH242" s="122">
        <f t="shared" si="12"/>
        <v>0</v>
      </c>
    </row>
    <row r="243" spans="1:34" s="75" customFormat="1" ht="15.75">
      <c r="A243" s="125">
        <v>252</v>
      </c>
      <c r="B243" s="78"/>
      <c r="C243" s="98" t="s">
        <v>212</v>
      </c>
      <c r="D243" s="275"/>
      <c r="E243" s="263">
        <f t="shared" si="13"/>
        <v>0</v>
      </c>
      <c r="F243" s="266"/>
      <c r="G243" s="263"/>
      <c r="H243" s="263">
        <f>IFERROR(VLOOKUP(A243,Cargas!$B$3:$I$93,3,FALSE),0)</f>
        <v>0</v>
      </c>
      <c r="I243" s="263">
        <f>IFERROR(VLOOKUP(A243,Cargas!$B$3:$I$93,4,FALSE),0)</f>
        <v>0</v>
      </c>
      <c r="J243" s="263">
        <f>IFERROR(VLOOKUP(A243,Cargas!$B$3:$I$93,5,FALSE),0)</f>
        <v>0</v>
      </c>
      <c r="K243" s="263">
        <f>IFERROR(VLOOKUP(A243,Cargas!$B$3:$I$93,6,FALSE),0)</f>
        <v>0</v>
      </c>
      <c r="L243" s="263">
        <f>IFERROR(VLOOKUP(A243,Cargas!$B$3:$I$93,7,FALSE),0)</f>
        <v>0</v>
      </c>
      <c r="AB243" s="123">
        <f t="shared" si="15"/>
        <v>0</v>
      </c>
      <c r="AC243" s="123">
        <f t="shared" si="15"/>
        <v>0</v>
      </c>
      <c r="AD243" s="123">
        <f t="shared" si="15"/>
        <v>0</v>
      </c>
      <c r="AE243" s="123">
        <f t="shared" si="14"/>
        <v>0</v>
      </c>
      <c r="AF243" s="123">
        <f t="shared" si="14"/>
        <v>0</v>
      </c>
      <c r="AG243" s="123">
        <f t="shared" si="14"/>
        <v>0</v>
      </c>
      <c r="AH243" s="122">
        <f t="shared" si="12"/>
        <v>0</v>
      </c>
    </row>
    <row r="244" spans="1:34" s="74" customFormat="1" ht="15.75">
      <c r="A244" s="125">
        <v>253</v>
      </c>
      <c r="B244" s="78"/>
      <c r="C244" s="98" t="s">
        <v>213</v>
      </c>
      <c r="D244" s="275"/>
      <c r="E244" s="263">
        <f t="shared" si="13"/>
        <v>0</v>
      </c>
      <c r="F244" s="266"/>
      <c r="G244" s="263"/>
      <c r="H244" s="263">
        <f>IFERROR(VLOOKUP(A244,Cargas!$B$3:$I$93,3,FALSE),0)</f>
        <v>0</v>
      </c>
      <c r="I244" s="263">
        <f>IFERROR(VLOOKUP(A244,Cargas!$B$3:$I$93,4,FALSE),0)</f>
        <v>0</v>
      </c>
      <c r="J244" s="263">
        <f>IFERROR(VLOOKUP(A244,Cargas!$B$3:$I$93,5,FALSE),0)</f>
        <v>0</v>
      </c>
      <c r="K244" s="263">
        <f>IFERROR(VLOOKUP(A244,Cargas!$B$3:$I$93,6,FALSE),0)</f>
        <v>0</v>
      </c>
      <c r="L244" s="263">
        <f>IFERROR(VLOOKUP(A244,Cargas!$B$3:$I$93,7,FALSE),0)</f>
        <v>0</v>
      </c>
      <c r="AB244" s="123">
        <f t="shared" si="15"/>
        <v>0</v>
      </c>
      <c r="AC244" s="123">
        <f t="shared" si="15"/>
        <v>0</v>
      </c>
      <c r="AD244" s="123">
        <f t="shared" si="15"/>
        <v>0</v>
      </c>
      <c r="AE244" s="123">
        <f t="shared" si="14"/>
        <v>0</v>
      </c>
      <c r="AF244" s="123">
        <f t="shared" si="14"/>
        <v>0</v>
      </c>
      <c r="AG244" s="123">
        <f t="shared" si="14"/>
        <v>0</v>
      </c>
      <c r="AH244" s="122">
        <f t="shared" si="12"/>
        <v>0</v>
      </c>
    </row>
    <row r="245" spans="1:34" s="75" customFormat="1" ht="15.75">
      <c r="A245" s="125">
        <v>254</v>
      </c>
      <c r="B245" s="78"/>
      <c r="C245" s="98" t="s">
        <v>214</v>
      </c>
      <c r="D245" s="275"/>
      <c r="E245" s="263">
        <f t="shared" si="13"/>
        <v>0</v>
      </c>
      <c r="F245" s="266"/>
      <c r="G245" s="263"/>
      <c r="H245" s="263">
        <f>IFERROR(VLOOKUP(A245,Cargas!$B$3:$I$93,3,FALSE),0)</f>
        <v>0</v>
      </c>
      <c r="I245" s="263">
        <f>IFERROR(VLOOKUP(A245,Cargas!$B$3:$I$93,4,FALSE),0)</f>
        <v>0</v>
      </c>
      <c r="J245" s="263">
        <f>IFERROR(VLOOKUP(A245,Cargas!$B$3:$I$93,5,FALSE),0)</f>
        <v>0</v>
      </c>
      <c r="K245" s="263">
        <f>IFERROR(VLOOKUP(A245,Cargas!$B$3:$I$93,6,FALSE),0)</f>
        <v>0</v>
      </c>
      <c r="L245" s="263">
        <f>IFERROR(VLOOKUP(A245,Cargas!$B$3:$I$93,7,FALSE),0)</f>
        <v>0</v>
      </c>
      <c r="AB245" s="123">
        <f t="shared" si="15"/>
        <v>0</v>
      </c>
      <c r="AC245" s="123">
        <f t="shared" si="15"/>
        <v>0</v>
      </c>
      <c r="AD245" s="123">
        <f t="shared" si="15"/>
        <v>0</v>
      </c>
      <c r="AE245" s="123">
        <f t="shared" si="14"/>
        <v>0</v>
      </c>
      <c r="AF245" s="123">
        <f t="shared" si="14"/>
        <v>0</v>
      </c>
      <c r="AG245" s="123">
        <f t="shared" si="14"/>
        <v>0</v>
      </c>
      <c r="AH245" s="122">
        <f t="shared" si="12"/>
        <v>0</v>
      </c>
    </row>
    <row r="246" spans="1:34" s="75" customFormat="1" ht="15.75">
      <c r="A246" s="125">
        <v>255</v>
      </c>
      <c r="B246" s="78"/>
      <c r="C246" s="98" t="s">
        <v>215</v>
      </c>
      <c r="D246" s="275"/>
      <c r="E246" s="263">
        <f t="shared" si="13"/>
        <v>0</v>
      </c>
      <c r="F246" s="266"/>
      <c r="G246" s="263"/>
      <c r="H246" s="263">
        <f>IFERROR(VLOOKUP(A246,Cargas!$B$3:$I$93,3,FALSE),0)</f>
        <v>0</v>
      </c>
      <c r="I246" s="263">
        <f>IFERROR(VLOOKUP(A246,Cargas!$B$3:$I$93,4,FALSE),0)</f>
        <v>0</v>
      </c>
      <c r="J246" s="263">
        <f>IFERROR(VLOOKUP(A246,Cargas!$B$3:$I$93,5,FALSE),0)</f>
        <v>0</v>
      </c>
      <c r="K246" s="263">
        <f>IFERROR(VLOOKUP(A246,Cargas!$B$3:$I$93,6,FALSE),0)</f>
        <v>0</v>
      </c>
      <c r="L246" s="263">
        <f>IFERROR(VLOOKUP(A246,Cargas!$B$3:$I$93,7,FALSE),0)</f>
        <v>0</v>
      </c>
      <c r="AB246" s="123">
        <f t="shared" si="15"/>
        <v>0</v>
      </c>
      <c r="AC246" s="123">
        <f t="shared" si="15"/>
        <v>0</v>
      </c>
      <c r="AD246" s="123">
        <f t="shared" si="15"/>
        <v>0</v>
      </c>
      <c r="AE246" s="123">
        <f t="shared" si="14"/>
        <v>0</v>
      </c>
      <c r="AF246" s="123">
        <f t="shared" si="14"/>
        <v>0</v>
      </c>
      <c r="AG246" s="123">
        <f t="shared" si="14"/>
        <v>0</v>
      </c>
      <c r="AH246" s="122">
        <f t="shared" si="12"/>
        <v>0</v>
      </c>
    </row>
    <row r="247" spans="1:34" s="74" customFormat="1" ht="15.75">
      <c r="A247" s="125">
        <v>256</v>
      </c>
      <c r="B247" s="78"/>
      <c r="C247" s="98" t="s">
        <v>216</v>
      </c>
      <c r="D247" s="275"/>
      <c r="E247" s="263">
        <f t="shared" si="13"/>
        <v>0</v>
      </c>
      <c r="F247" s="266"/>
      <c r="G247" s="263"/>
      <c r="H247" s="263">
        <f>IFERROR(VLOOKUP(A247,Cargas!$B$3:$I$93,3,FALSE),0)</f>
        <v>0</v>
      </c>
      <c r="I247" s="263">
        <f>IFERROR(VLOOKUP(A247,Cargas!$B$3:$I$93,4,FALSE),0)</f>
        <v>0</v>
      </c>
      <c r="J247" s="263">
        <f>IFERROR(VLOOKUP(A247,Cargas!$B$3:$I$93,5,FALSE),0)</f>
        <v>0</v>
      </c>
      <c r="K247" s="263">
        <f>IFERROR(VLOOKUP(A247,Cargas!$B$3:$I$93,6,FALSE),0)</f>
        <v>0</v>
      </c>
      <c r="L247" s="263">
        <f>IFERROR(VLOOKUP(A247,Cargas!$B$3:$I$93,7,FALSE),0)</f>
        <v>0</v>
      </c>
      <c r="AB247" s="123">
        <f t="shared" si="15"/>
        <v>0</v>
      </c>
      <c r="AC247" s="123">
        <f t="shared" si="15"/>
        <v>0</v>
      </c>
      <c r="AD247" s="123">
        <f t="shared" si="15"/>
        <v>0</v>
      </c>
      <c r="AE247" s="123">
        <f t="shared" si="14"/>
        <v>0</v>
      </c>
      <c r="AF247" s="123">
        <f t="shared" si="14"/>
        <v>0</v>
      </c>
      <c r="AG247" s="123">
        <f t="shared" si="14"/>
        <v>0</v>
      </c>
      <c r="AH247" s="122">
        <f t="shared" si="12"/>
        <v>0</v>
      </c>
    </row>
    <row r="248" spans="1:34" s="75" customFormat="1" ht="15.75">
      <c r="A248" s="125">
        <v>257</v>
      </c>
      <c r="B248" s="78"/>
      <c r="C248" s="98" t="s">
        <v>217</v>
      </c>
      <c r="D248" s="275"/>
      <c r="E248" s="263">
        <f t="shared" si="13"/>
        <v>0</v>
      </c>
      <c r="F248" s="266"/>
      <c r="G248" s="263"/>
      <c r="H248" s="263">
        <f>IFERROR(VLOOKUP(A248,Cargas!$B$3:$I$93,3,FALSE),0)</f>
        <v>0</v>
      </c>
      <c r="I248" s="263">
        <f>IFERROR(VLOOKUP(A248,Cargas!$B$3:$I$93,4,FALSE),0)</f>
        <v>0</v>
      </c>
      <c r="J248" s="263">
        <f>IFERROR(VLOOKUP(A248,Cargas!$B$3:$I$93,5,FALSE),0)</f>
        <v>0</v>
      </c>
      <c r="K248" s="263">
        <f>IFERROR(VLOOKUP(A248,Cargas!$B$3:$I$93,6,FALSE),0)</f>
        <v>0</v>
      </c>
      <c r="L248" s="263">
        <f>IFERROR(VLOOKUP(A248,Cargas!$B$3:$I$93,7,FALSE),0)</f>
        <v>0</v>
      </c>
      <c r="AB248" s="123">
        <f t="shared" si="15"/>
        <v>0</v>
      </c>
      <c r="AC248" s="123">
        <f t="shared" si="15"/>
        <v>0</v>
      </c>
      <c r="AD248" s="123">
        <f t="shared" si="15"/>
        <v>0</v>
      </c>
      <c r="AE248" s="123">
        <f t="shared" si="14"/>
        <v>0</v>
      </c>
      <c r="AF248" s="123">
        <f t="shared" si="14"/>
        <v>0</v>
      </c>
      <c r="AG248" s="123">
        <f t="shared" si="14"/>
        <v>0</v>
      </c>
      <c r="AH248" s="122">
        <f t="shared" si="12"/>
        <v>0</v>
      </c>
    </row>
    <row r="249" spans="1:34" s="75" customFormat="1" ht="15.75">
      <c r="A249" s="125">
        <v>258</v>
      </c>
      <c r="B249" s="78"/>
      <c r="C249" s="98" t="s">
        <v>218</v>
      </c>
      <c r="D249" s="275"/>
      <c r="E249" s="263">
        <f t="shared" si="13"/>
        <v>0</v>
      </c>
      <c r="F249" s="266"/>
      <c r="G249" s="263"/>
      <c r="H249" s="263">
        <f>IFERROR(VLOOKUP(A249,Cargas!$B$3:$I$93,3,FALSE),0)</f>
        <v>0</v>
      </c>
      <c r="I249" s="263">
        <f>IFERROR(VLOOKUP(A249,Cargas!$B$3:$I$93,4,FALSE),0)</f>
        <v>0</v>
      </c>
      <c r="J249" s="263">
        <f>IFERROR(VLOOKUP(A249,Cargas!$B$3:$I$93,5,FALSE),0)</f>
        <v>0</v>
      </c>
      <c r="K249" s="263">
        <f>IFERROR(VLOOKUP(A249,Cargas!$B$3:$I$93,6,FALSE),0)</f>
        <v>0</v>
      </c>
      <c r="L249" s="263">
        <f>IFERROR(VLOOKUP(A249,Cargas!$B$3:$I$93,7,FALSE),0)</f>
        <v>0</v>
      </c>
      <c r="AB249" s="123">
        <f t="shared" si="15"/>
        <v>0</v>
      </c>
      <c r="AC249" s="123">
        <f t="shared" si="15"/>
        <v>0</v>
      </c>
      <c r="AD249" s="123">
        <f t="shared" si="15"/>
        <v>0</v>
      </c>
      <c r="AE249" s="123">
        <f t="shared" si="14"/>
        <v>0</v>
      </c>
      <c r="AF249" s="123">
        <f t="shared" si="14"/>
        <v>0</v>
      </c>
      <c r="AG249" s="123">
        <f t="shared" si="14"/>
        <v>0</v>
      </c>
      <c r="AH249" s="122">
        <f t="shared" si="12"/>
        <v>0</v>
      </c>
    </row>
    <row r="250" spans="1:34" s="74" customFormat="1" ht="15.75">
      <c r="A250" s="125">
        <v>259</v>
      </c>
      <c r="B250" s="78"/>
      <c r="C250" s="127" t="s">
        <v>219</v>
      </c>
      <c r="D250" s="275"/>
      <c r="E250" s="263">
        <f t="shared" si="13"/>
        <v>0</v>
      </c>
      <c r="F250" s="263"/>
      <c r="G250" s="263"/>
      <c r="H250" s="263">
        <f>IFERROR(VLOOKUP(A250,Cargas!$B$3:$I$93,3,FALSE),0)</f>
        <v>0</v>
      </c>
      <c r="I250" s="263">
        <f>IFERROR(VLOOKUP(A250,Cargas!$B$3:$I$93,4,FALSE),0)</f>
        <v>0</v>
      </c>
      <c r="J250" s="263">
        <f>IFERROR(VLOOKUP(A250,Cargas!$B$3:$I$93,5,FALSE),0)</f>
        <v>0</v>
      </c>
      <c r="K250" s="263">
        <f>IFERROR(VLOOKUP(A250,Cargas!$B$3:$I$93,6,FALSE),0)</f>
        <v>0</v>
      </c>
      <c r="L250" s="263">
        <f>IFERROR(VLOOKUP(A250,Cargas!$B$3:$I$93,7,FALSE),0)</f>
        <v>0</v>
      </c>
      <c r="AB250" s="123">
        <f t="shared" si="15"/>
        <v>0</v>
      </c>
      <c r="AC250" s="123">
        <f t="shared" si="15"/>
        <v>0</v>
      </c>
      <c r="AD250" s="123">
        <f t="shared" si="15"/>
        <v>0</v>
      </c>
      <c r="AE250" s="123">
        <f t="shared" si="14"/>
        <v>0</v>
      </c>
      <c r="AF250" s="123">
        <f t="shared" si="14"/>
        <v>0</v>
      </c>
      <c r="AG250" s="123">
        <f t="shared" si="14"/>
        <v>0</v>
      </c>
      <c r="AH250" s="122">
        <f t="shared" si="12"/>
        <v>0</v>
      </c>
    </row>
    <row r="251" spans="1:34" s="75" customFormat="1" ht="15.75">
      <c r="A251" s="125">
        <v>260</v>
      </c>
      <c r="B251" s="78"/>
      <c r="C251" s="127" t="s">
        <v>220</v>
      </c>
      <c r="D251" s="275"/>
      <c r="E251" s="263">
        <f t="shared" si="13"/>
        <v>0</v>
      </c>
      <c r="F251" s="266"/>
      <c r="G251" s="263"/>
      <c r="H251" s="263">
        <f>IFERROR(VLOOKUP(A251,Cargas!$B$3:$I$93,3,FALSE),0)</f>
        <v>0</v>
      </c>
      <c r="I251" s="263">
        <f>IFERROR(VLOOKUP(A251,Cargas!$B$3:$I$93,4,FALSE),0)</f>
        <v>0</v>
      </c>
      <c r="J251" s="263">
        <f>IFERROR(VLOOKUP(A251,Cargas!$B$3:$I$93,5,FALSE),0)</f>
        <v>0</v>
      </c>
      <c r="K251" s="263">
        <f>IFERROR(VLOOKUP(A251,Cargas!$B$3:$I$93,6,FALSE),0)</f>
        <v>0</v>
      </c>
      <c r="L251" s="263">
        <f>IFERROR(VLOOKUP(A251,Cargas!$B$3:$I$93,7,FALSE),0)</f>
        <v>0</v>
      </c>
      <c r="AB251" s="123">
        <f t="shared" si="15"/>
        <v>0</v>
      </c>
      <c r="AC251" s="123">
        <f t="shared" si="15"/>
        <v>0</v>
      </c>
      <c r="AD251" s="123">
        <f t="shared" si="15"/>
        <v>0</v>
      </c>
      <c r="AE251" s="123">
        <f t="shared" si="14"/>
        <v>0</v>
      </c>
      <c r="AF251" s="123">
        <f t="shared" si="14"/>
        <v>0</v>
      </c>
      <c r="AG251" s="123">
        <f t="shared" si="14"/>
        <v>0</v>
      </c>
      <c r="AH251" s="122">
        <f t="shared" si="12"/>
        <v>0</v>
      </c>
    </row>
    <row r="252" spans="1:34" s="75" customFormat="1" ht="15.75">
      <c r="A252" s="125">
        <v>261</v>
      </c>
      <c r="B252" s="78"/>
      <c r="C252" s="127" t="s">
        <v>221</v>
      </c>
      <c r="D252" s="275"/>
      <c r="E252" s="263">
        <f t="shared" si="13"/>
        <v>0</v>
      </c>
      <c r="F252" s="263"/>
      <c r="G252" s="263"/>
      <c r="H252" s="263">
        <f>IFERROR(VLOOKUP(A252,Cargas!$B$3:$I$93,3,FALSE),0)</f>
        <v>0</v>
      </c>
      <c r="I252" s="263">
        <f>IFERROR(VLOOKUP(A252,Cargas!$B$3:$I$93,4,FALSE),0)</f>
        <v>0</v>
      </c>
      <c r="J252" s="263">
        <f>IFERROR(VLOOKUP(A252,Cargas!$B$3:$I$93,5,FALSE),0)</f>
        <v>0</v>
      </c>
      <c r="K252" s="263">
        <f>IFERROR(VLOOKUP(A252,Cargas!$B$3:$I$93,6,FALSE),0)</f>
        <v>0</v>
      </c>
      <c r="L252" s="263">
        <f>IFERROR(VLOOKUP(A252,Cargas!$B$3:$I$93,7,FALSE),0)</f>
        <v>0</v>
      </c>
      <c r="AB252" s="123">
        <f t="shared" si="15"/>
        <v>0</v>
      </c>
      <c r="AC252" s="123">
        <f t="shared" si="15"/>
        <v>0</v>
      </c>
      <c r="AD252" s="123">
        <f t="shared" si="15"/>
        <v>0</v>
      </c>
      <c r="AE252" s="123">
        <f t="shared" si="14"/>
        <v>0</v>
      </c>
      <c r="AF252" s="123">
        <f t="shared" si="14"/>
        <v>0</v>
      </c>
      <c r="AG252" s="123">
        <f t="shared" si="14"/>
        <v>0</v>
      </c>
      <c r="AH252" s="122">
        <f t="shared" si="12"/>
        <v>0</v>
      </c>
    </row>
    <row r="253" spans="1:34" s="74" customFormat="1" ht="15.75">
      <c r="A253" s="125">
        <v>262</v>
      </c>
      <c r="B253" s="78"/>
      <c r="C253" s="127" t="s">
        <v>222</v>
      </c>
      <c r="D253" s="272"/>
      <c r="E253" s="263">
        <f t="shared" si="13"/>
        <v>0</v>
      </c>
      <c r="F253" s="263"/>
      <c r="G253" s="263"/>
      <c r="H253" s="263">
        <f>IFERROR(VLOOKUP(A253,Cargas!$B$3:$I$93,3,FALSE),0)</f>
        <v>0</v>
      </c>
      <c r="I253" s="263">
        <f>IFERROR(VLOOKUP(A253,Cargas!$B$3:$I$93,4,FALSE),0)</f>
        <v>0</v>
      </c>
      <c r="J253" s="263">
        <f>IFERROR(VLOOKUP(A253,Cargas!$B$3:$I$93,5,FALSE),0)</f>
        <v>0</v>
      </c>
      <c r="K253" s="263">
        <f>IFERROR(VLOOKUP(A253,Cargas!$B$3:$I$93,6,FALSE),0)</f>
        <v>0</v>
      </c>
      <c r="L253" s="263">
        <f>IFERROR(VLOOKUP(A253,Cargas!$B$3:$I$93,7,FALSE),0)</f>
        <v>0</v>
      </c>
      <c r="AB253" s="123">
        <f t="shared" si="15"/>
        <v>0</v>
      </c>
      <c r="AC253" s="123">
        <f t="shared" si="15"/>
        <v>0</v>
      </c>
      <c r="AD253" s="123">
        <f t="shared" si="15"/>
        <v>0</v>
      </c>
      <c r="AE253" s="123">
        <f t="shared" si="14"/>
        <v>0</v>
      </c>
      <c r="AF253" s="123">
        <f t="shared" si="14"/>
        <v>0</v>
      </c>
      <c r="AG253" s="123">
        <f t="shared" si="14"/>
        <v>0</v>
      </c>
      <c r="AH253" s="122">
        <f t="shared" si="12"/>
        <v>0</v>
      </c>
    </row>
    <row r="254" spans="1:34" s="75" customFormat="1" ht="15.75">
      <c r="A254" s="125">
        <v>263</v>
      </c>
      <c r="B254" s="78"/>
      <c r="C254" s="126" t="s">
        <v>264</v>
      </c>
      <c r="D254" s="272"/>
      <c r="E254" s="263">
        <f t="shared" si="13"/>
        <v>0</v>
      </c>
      <c r="F254" s="263"/>
      <c r="G254" s="263"/>
      <c r="H254" s="263">
        <f>IFERROR(VLOOKUP(A254,Cargas!$B$3:$I$93,3,FALSE),0)</f>
        <v>0</v>
      </c>
      <c r="I254" s="263">
        <f>IFERROR(VLOOKUP(A254,Cargas!$B$3:$I$93,4,FALSE),0)</f>
        <v>0</v>
      </c>
      <c r="J254" s="263">
        <f>IFERROR(VLOOKUP(A254,Cargas!$B$3:$I$93,5,FALSE),0)</f>
        <v>0</v>
      </c>
      <c r="K254" s="263">
        <f>IFERROR(VLOOKUP(A254,Cargas!$B$3:$I$93,6,FALSE),0)</f>
        <v>0</v>
      </c>
      <c r="L254" s="263">
        <f>IFERROR(VLOOKUP(A254,Cargas!$B$3:$I$93,7,FALSE),0)</f>
        <v>0</v>
      </c>
      <c r="AB254" s="123">
        <f t="shared" si="15"/>
        <v>0</v>
      </c>
      <c r="AC254" s="123">
        <f t="shared" si="15"/>
        <v>0</v>
      </c>
      <c r="AD254" s="123">
        <f t="shared" si="15"/>
        <v>0</v>
      </c>
      <c r="AE254" s="123">
        <f t="shared" si="14"/>
        <v>0</v>
      </c>
      <c r="AF254" s="123">
        <f t="shared" si="14"/>
        <v>0</v>
      </c>
      <c r="AG254" s="123">
        <f t="shared" si="14"/>
        <v>0</v>
      </c>
      <c r="AH254" s="122">
        <f t="shared" si="12"/>
        <v>0</v>
      </c>
    </row>
    <row r="255" spans="1:34" s="75" customFormat="1" ht="15.75">
      <c r="A255" s="125">
        <v>264</v>
      </c>
      <c r="B255" s="78"/>
      <c r="C255" s="126" t="s">
        <v>265</v>
      </c>
      <c r="D255" s="272"/>
      <c r="E255" s="263">
        <f t="shared" si="13"/>
        <v>0</v>
      </c>
      <c r="F255" s="263"/>
      <c r="G255" s="263"/>
      <c r="H255" s="263">
        <f>IFERROR(VLOOKUP(A255,Cargas!$B$3:$I$93,3,FALSE),0)</f>
        <v>0</v>
      </c>
      <c r="I255" s="263">
        <f>IFERROR(VLOOKUP(A255,Cargas!$B$3:$I$93,4,FALSE),0)</f>
        <v>0</v>
      </c>
      <c r="J255" s="263">
        <f>IFERROR(VLOOKUP(A255,Cargas!$B$3:$I$93,5,FALSE),0)</f>
        <v>0</v>
      </c>
      <c r="K255" s="263">
        <f>IFERROR(VLOOKUP(A255,Cargas!$B$3:$I$93,6,FALSE),0)</f>
        <v>0</v>
      </c>
      <c r="L255" s="263">
        <f>IFERROR(VLOOKUP(A255,Cargas!$B$3:$I$93,7,FALSE),0)</f>
        <v>0</v>
      </c>
      <c r="AB255" s="123">
        <f t="shared" si="15"/>
        <v>0</v>
      </c>
      <c r="AC255" s="123">
        <f t="shared" si="15"/>
        <v>0</v>
      </c>
      <c r="AD255" s="123">
        <f t="shared" si="15"/>
        <v>0</v>
      </c>
      <c r="AE255" s="123">
        <f t="shared" si="14"/>
        <v>0</v>
      </c>
      <c r="AF255" s="123">
        <f t="shared" si="14"/>
        <v>0</v>
      </c>
      <c r="AG255" s="123">
        <f t="shared" si="14"/>
        <v>0</v>
      </c>
      <c r="AH255" s="122">
        <f t="shared" si="12"/>
        <v>0</v>
      </c>
    </row>
    <row r="256" spans="1:34" s="74" customFormat="1" ht="15.75">
      <c r="A256" s="125">
        <v>265</v>
      </c>
      <c r="B256" s="78"/>
      <c r="C256" s="126" t="s">
        <v>266</v>
      </c>
      <c r="D256" s="272"/>
      <c r="E256" s="263">
        <f t="shared" si="13"/>
        <v>0</v>
      </c>
      <c r="F256" s="263"/>
      <c r="G256" s="263"/>
      <c r="H256" s="263">
        <f>IFERROR(VLOOKUP(A256,Cargas!$B$3:$I$93,3,FALSE),0)</f>
        <v>0</v>
      </c>
      <c r="I256" s="263">
        <f>IFERROR(VLOOKUP(A256,Cargas!$B$3:$I$93,4,FALSE),0)</f>
        <v>0</v>
      </c>
      <c r="J256" s="263">
        <f>IFERROR(VLOOKUP(A256,Cargas!$B$3:$I$93,5,FALSE),0)</f>
        <v>0</v>
      </c>
      <c r="K256" s="263">
        <f>IFERROR(VLOOKUP(A256,Cargas!$B$3:$I$93,6,FALSE),0)</f>
        <v>0</v>
      </c>
      <c r="L256" s="263">
        <f>IFERROR(VLOOKUP(A256,Cargas!$B$3:$I$93,7,FALSE),0)</f>
        <v>0</v>
      </c>
      <c r="AB256" s="123">
        <f t="shared" si="15"/>
        <v>0</v>
      </c>
      <c r="AC256" s="123">
        <f t="shared" si="15"/>
        <v>0</v>
      </c>
      <c r="AD256" s="123">
        <f t="shared" si="15"/>
        <v>0</v>
      </c>
      <c r="AE256" s="123">
        <f t="shared" si="14"/>
        <v>0</v>
      </c>
      <c r="AF256" s="123">
        <f t="shared" si="14"/>
        <v>0</v>
      </c>
      <c r="AG256" s="123">
        <f t="shared" si="14"/>
        <v>0</v>
      </c>
      <c r="AH256" s="122">
        <f t="shared" si="12"/>
        <v>0</v>
      </c>
    </row>
    <row r="257" spans="1:34" s="75" customFormat="1" ht="15.75">
      <c r="A257" s="125">
        <v>266</v>
      </c>
      <c r="B257" s="78"/>
      <c r="C257" s="126" t="s">
        <v>267</v>
      </c>
      <c r="D257" s="272"/>
      <c r="E257" s="263">
        <f t="shared" si="13"/>
        <v>0</v>
      </c>
      <c r="F257" s="263"/>
      <c r="G257" s="263"/>
      <c r="H257" s="263">
        <f>IFERROR(VLOOKUP(A257,Cargas!$B$3:$I$93,3,FALSE),0)</f>
        <v>0</v>
      </c>
      <c r="I257" s="263">
        <f>IFERROR(VLOOKUP(A257,Cargas!$B$3:$I$93,4,FALSE),0)</f>
        <v>0</v>
      </c>
      <c r="J257" s="263">
        <f>IFERROR(VLOOKUP(A257,Cargas!$B$3:$I$93,5,FALSE),0)</f>
        <v>0</v>
      </c>
      <c r="K257" s="263">
        <f>IFERROR(VLOOKUP(A257,Cargas!$B$3:$I$93,6,FALSE),0)</f>
        <v>0</v>
      </c>
      <c r="L257" s="263">
        <f>IFERROR(VLOOKUP(A257,Cargas!$B$3:$I$93,7,FALSE),0)</f>
        <v>0</v>
      </c>
      <c r="AB257" s="123">
        <f t="shared" si="15"/>
        <v>0</v>
      </c>
      <c r="AC257" s="123">
        <f t="shared" si="15"/>
        <v>0</v>
      </c>
      <c r="AD257" s="123">
        <f t="shared" si="15"/>
        <v>0</v>
      </c>
      <c r="AE257" s="123">
        <f t="shared" si="14"/>
        <v>0</v>
      </c>
      <c r="AF257" s="123">
        <f t="shared" si="14"/>
        <v>0</v>
      </c>
      <c r="AG257" s="123">
        <f t="shared" si="14"/>
        <v>0</v>
      </c>
      <c r="AH257" s="122">
        <f t="shared" si="12"/>
        <v>0</v>
      </c>
    </row>
    <row r="258" spans="1:34" s="75" customFormat="1" ht="15.75">
      <c r="A258" s="125">
        <v>267</v>
      </c>
      <c r="B258" s="78"/>
      <c r="C258" s="127" t="s">
        <v>268</v>
      </c>
      <c r="D258" s="272"/>
      <c r="E258" s="263">
        <f t="shared" si="13"/>
        <v>0</v>
      </c>
      <c r="F258" s="263"/>
      <c r="G258" s="263"/>
      <c r="H258" s="263">
        <f>IFERROR(VLOOKUP(A258,Cargas!$B$3:$I$93,3,FALSE),0)</f>
        <v>0</v>
      </c>
      <c r="I258" s="263">
        <f>IFERROR(VLOOKUP(A258,Cargas!$B$3:$I$93,4,FALSE),0)</f>
        <v>0</v>
      </c>
      <c r="J258" s="263">
        <f>IFERROR(VLOOKUP(A258,Cargas!$B$3:$I$93,5,FALSE),0)</f>
        <v>0</v>
      </c>
      <c r="K258" s="263">
        <f>IFERROR(VLOOKUP(A258,Cargas!$B$3:$I$93,6,FALSE),0)</f>
        <v>0</v>
      </c>
      <c r="L258" s="263">
        <f>IFERROR(VLOOKUP(A258,Cargas!$B$3:$I$93,7,FALSE),0)</f>
        <v>0</v>
      </c>
      <c r="AB258" s="123">
        <f t="shared" si="15"/>
        <v>0</v>
      </c>
      <c r="AC258" s="123">
        <f t="shared" si="15"/>
        <v>0</v>
      </c>
      <c r="AD258" s="123">
        <f t="shared" si="15"/>
        <v>0</v>
      </c>
      <c r="AE258" s="123">
        <f t="shared" si="14"/>
        <v>0</v>
      </c>
      <c r="AF258" s="123">
        <f t="shared" si="14"/>
        <v>0</v>
      </c>
      <c r="AG258" s="123">
        <f t="shared" si="14"/>
        <v>0</v>
      </c>
      <c r="AH258" s="122">
        <f t="shared" si="12"/>
        <v>0</v>
      </c>
    </row>
    <row r="259" spans="1:34" s="74" customFormat="1" ht="15.75">
      <c r="A259" s="125">
        <v>268</v>
      </c>
      <c r="B259" s="78"/>
      <c r="C259" s="126" t="s">
        <v>269</v>
      </c>
      <c r="D259" s="272"/>
      <c r="E259" s="263">
        <f t="shared" si="13"/>
        <v>0</v>
      </c>
      <c r="F259" s="263"/>
      <c r="G259" s="263"/>
      <c r="H259" s="263">
        <f>IFERROR(VLOOKUP(A259,Cargas!$B$3:$I$93,3,FALSE),0)</f>
        <v>0</v>
      </c>
      <c r="I259" s="263">
        <f>IFERROR(VLOOKUP(A259,Cargas!$B$3:$I$93,4,FALSE),0)</f>
        <v>0</v>
      </c>
      <c r="J259" s="263">
        <f>IFERROR(VLOOKUP(A259,Cargas!$B$3:$I$93,5,FALSE),0)</f>
        <v>0</v>
      </c>
      <c r="K259" s="263">
        <f>IFERROR(VLOOKUP(A259,Cargas!$B$3:$I$93,6,FALSE),0)</f>
        <v>0</v>
      </c>
      <c r="L259" s="263">
        <f>IFERROR(VLOOKUP(A259,Cargas!$B$3:$I$93,7,FALSE),0)</f>
        <v>0</v>
      </c>
      <c r="AB259" s="123">
        <f t="shared" si="15"/>
        <v>0</v>
      </c>
      <c r="AC259" s="123">
        <f t="shared" si="15"/>
        <v>0</v>
      </c>
      <c r="AD259" s="123">
        <f t="shared" si="15"/>
        <v>0</v>
      </c>
      <c r="AE259" s="123">
        <f t="shared" si="14"/>
        <v>0</v>
      </c>
      <c r="AF259" s="123">
        <f t="shared" si="14"/>
        <v>0</v>
      </c>
      <c r="AG259" s="123">
        <f t="shared" si="14"/>
        <v>0</v>
      </c>
      <c r="AH259" s="122">
        <f t="shared" si="12"/>
        <v>0</v>
      </c>
    </row>
    <row r="260" spans="1:34" s="75" customFormat="1" ht="15.75">
      <c r="A260" s="125">
        <v>269</v>
      </c>
      <c r="B260" s="78"/>
      <c r="C260" s="126" t="s">
        <v>270</v>
      </c>
      <c r="D260" s="272"/>
      <c r="E260" s="263">
        <f t="shared" si="13"/>
        <v>0</v>
      </c>
      <c r="F260" s="263"/>
      <c r="G260" s="263"/>
      <c r="H260" s="263">
        <f>IFERROR(VLOOKUP(A260,Cargas!$B$3:$I$93,3,FALSE),0)</f>
        <v>0</v>
      </c>
      <c r="I260" s="263">
        <f>IFERROR(VLOOKUP(A260,Cargas!$B$3:$I$93,4,FALSE),0)</f>
        <v>0</v>
      </c>
      <c r="J260" s="263">
        <f>IFERROR(VLOOKUP(A260,Cargas!$B$3:$I$93,5,FALSE),0)</f>
        <v>0</v>
      </c>
      <c r="K260" s="263">
        <f>IFERROR(VLOOKUP(A260,Cargas!$B$3:$I$93,6,FALSE),0)</f>
        <v>0</v>
      </c>
      <c r="L260" s="263">
        <f>IFERROR(VLOOKUP(A260,Cargas!$B$3:$I$93,7,FALSE),0)</f>
        <v>0</v>
      </c>
      <c r="AB260" s="123">
        <f t="shared" si="15"/>
        <v>0</v>
      </c>
      <c r="AC260" s="123">
        <f t="shared" si="15"/>
        <v>0</v>
      </c>
      <c r="AD260" s="123">
        <f t="shared" si="15"/>
        <v>0</v>
      </c>
      <c r="AE260" s="123">
        <f t="shared" si="14"/>
        <v>0</v>
      </c>
      <c r="AF260" s="123">
        <f t="shared" si="14"/>
        <v>0</v>
      </c>
      <c r="AG260" s="123">
        <f t="shared" si="14"/>
        <v>0</v>
      </c>
      <c r="AH260" s="122">
        <f t="shared" si="12"/>
        <v>0</v>
      </c>
    </row>
    <row r="261" spans="1:34" s="75" customFormat="1" ht="15.75">
      <c r="A261" s="125">
        <v>270</v>
      </c>
      <c r="B261" s="78"/>
      <c r="C261" s="126" t="s">
        <v>271</v>
      </c>
      <c r="D261" s="272"/>
      <c r="E261" s="263">
        <f t="shared" si="13"/>
        <v>0</v>
      </c>
      <c r="F261" s="263"/>
      <c r="G261" s="263"/>
      <c r="H261" s="263">
        <f>IFERROR(VLOOKUP(A261,Cargas!$B$3:$I$93,3,FALSE),0)</f>
        <v>0</v>
      </c>
      <c r="I261" s="263">
        <f>IFERROR(VLOOKUP(A261,Cargas!$B$3:$I$93,4,FALSE),0)</f>
        <v>0</v>
      </c>
      <c r="J261" s="263">
        <f>IFERROR(VLOOKUP(A261,Cargas!$B$3:$I$93,5,FALSE),0)</f>
        <v>0</v>
      </c>
      <c r="K261" s="263">
        <f>IFERROR(VLOOKUP(A261,Cargas!$B$3:$I$93,6,FALSE),0)</f>
        <v>0</v>
      </c>
      <c r="L261" s="263">
        <f>IFERROR(VLOOKUP(A261,Cargas!$B$3:$I$93,7,FALSE),0)</f>
        <v>0</v>
      </c>
      <c r="AB261" s="123">
        <f t="shared" si="15"/>
        <v>0</v>
      </c>
      <c r="AC261" s="123">
        <f t="shared" si="15"/>
        <v>0</v>
      </c>
      <c r="AD261" s="123">
        <f t="shared" si="15"/>
        <v>0</v>
      </c>
      <c r="AE261" s="123">
        <f t="shared" si="14"/>
        <v>0</v>
      </c>
      <c r="AF261" s="123">
        <f t="shared" si="14"/>
        <v>0</v>
      </c>
      <c r="AG261" s="123">
        <f t="shared" si="14"/>
        <v>0</v>
      </c>
      <c r="AH261" s="122">
        <f t="shared" si="12"/>
        <v>0</v>
      </c>
    </row>
    <row r="262" spans="1:34" s="74" customFormat="1" ht="15.75">
      <c r="A262" s="125">
        <v>271</v>
      </c>
      <c r="B262" s="78"/>
      <c r="C262" s="126" t="s">
        <v>272</v>
      </c>
      <c r="D262" s="272"/>
      <c r="E262" s="263">
        <f t="shared" si="13"/>
        <v>0</v>
      </c>
      <c r="F262" s="263"/>
      <c r="G262" s="263"/>
      <c r="H262" s="263">
        <f>IFERROR(VLOOKUP(A262,Cargas!$B$3:$I$93,3,FALSE),0)</f>
        <v>0</v>
      </c>
      <c r="I262" s="263">
        <f>IFERROR(VLOOKUP(A262,Cargas!$B$3:$I$93,4,FALSE),0)</f>
        <v>0</v>
      </c>
      <c r="J262" s="263">
        <f>IFERROR(VLOOKUP(A262,Cargas!$B$3:$I$93,5,FALSE),0)</f>
        <v>0</v>
      </c>
      <c r="K262" s="263">
        <f>IFERROR(VLOOKUP(A262,Cargas!$B$3:$I$93,6,FALSE),0)</f>
        <v>0</v>
      </c>
      <c r="L262" s="263">
        <f>IFERROR(VLOOKUP(A262,Cargas!$B$3:$I$93,7,FALSE),0)</f>
        <v>0</v>
      </c>
      <c r="AB262" s="123">
        <f t="shared" si="15"/>
        <v>0</v>
      </c>
      <c r="AC262" s="123">
        <f t="shared" si="15"/>
        <v>0</v>
      </c>
      <c r="AD262" s="123">
        <f t="shared" si="15"/>
        <v>0</v>
      </c>
      <c r="AE262" s="123">
        <f t="shared" si="14"/>
        <v>0</v>
      </c>
      <c r="AF262" s="123">
        <f t="shared" si="14"/>
        <v>0</v>
      </c>
      <c r="AG262" s="123">
        <f t="shared" si="14"/>
        <v>0</v>
      </c>
      <c r="AH262" s="122">
        <f t="shared" si="12"/>
        <v>0</v>
      </c>
    </row>
    <row r="263" spans="1:34" s="75" customFormat="1" ht="15.75">
      <c r="A263" s="125">
        <v>272</v>
      </c>
      <c r="B263" s="78"/>
      <c r="C263" s="126" t="s">
        <v>273</v>
      </c>
      <c r="D263" s="272"/>
      <c r="E263" s="263">
        <f t="shared" si="13"/>
        <v>0</v>
      </c>
      <c r="F263" s="263"/>
      <c r="G263" s="263"/>
      <c r="H263" s="263">
        <f>IFERROR(VLOOKUP(A263,Cargas!$B$3:$I$93,3,FALSE),0)</f>
        <v>0</v>
      </c>
      <c r="I263" s="263">
        <f>IFERROR(VLOOKUP(A263,Cargas!$B$3:$I$93,4,FALSE),0)</f>
        <v>0</v>
      </c>
      <c r="J263" s="263">
        <f>IFERROR(VLOOKUP(A263,Cargas!$B$3:$I$93,5,FALSE),0)</f>
        <v>0</v>
      </c>
      <c r="K263" s="263">
        <f>IFERROR(VLOOKUP(A263,Cargas!$B$3:$I$93,6,FALSE),0)</f>
        <v>0</v>
      </c>
      <c r="L263" s="263">
        <f>IFERROR(VLOOKUP(A263,Cargas!$B$3:$I$93,7,FALSE),0)</f>
        <v>0</v>
      </c>
      <c r="AB263" s="123">
        <f t="shared" si="15"/>
        <v>0</v>
      </c>
      <c r="AC263" s="123">
        <f t="shared" si="15"/>
        <v>0</v>
      </c>
      <c r="AD263" s="123">
        <f t="shared" si="15"/>
        <v>0</v>
      </c>
      <c r="AE263" s="123">
        <f t="shared" si="14"/>
        <v>0</v>
      </c>
      <c r="AF263" s="123">
        <f t="shared" si="14"/>
        <v>0</v>
      </c>
      <c r="AG263" s="123">
        <f t="shared" si="14"/>
        <v>0</v>
      </c>
      <c r="AH263" s="122">
        <f t="shared" si="12"/>
        <v>0</v>
      </c>
    </row>
    <row r="264" spans="1:34" s="75" customFormat="1" ht="15.75">
      <c r="A264" s="125">
        <v>273</v>
      </c>
      <c r="B264" s="78"/>
      <c r="C264" s="126" t="s">
        <v>274</v>
      </c>
      <c r="D264" s="272"/>
      <c r="E264" s="263">
        <f t="shared" si="13"/>
        <v>0</v>
      </c>
      <c r="F264" s="263"/>
      <c r="G264" s="263"/>
      <c r="H264" s="263">
        <f>IFERROR(VLOOKUP(A264,Cargas!$B$3:$I$93,3,FALSE),0)</f>
        <v>0</v>
      </c>
      <c r="I264" s="263">
        <f>IFERROR(VLOOKUP(A264,Cargas!$B$3:$I$93,4,FALSE),0)</f>
        <v>0</v>
      </c>
      <c r="J264" s="263">
        <f>IFERROR(VLOOKUP(A264,Cargas!$B$3:$I$93,5,FALSE),0)</f>
        <v>0</v>
      </c>
      <c r="K264" s="263">
        <f>IFERROR(VLOOKUP(A264,Cargas!$B$3:$I$93,6,FALSE),0)</f>
        <v>0</v>
      </c>
      <c r="L264" s="263">
        <f>IFERROR(VLOOKUP(A264,Cargas!$B$3:$I$93,7,FALSE),0)</f>
        <v>0</v>
      </c>
      <c r="AB264" s="123">
        <f t="shared" si="15"/>
        <v>0</v>
      </c>
      <c r="AC264" s="123">
        <f t="shared" si="15"/>
        <v>0</v>
      </c>
      <c r="AD264" s="123">
        <f t="shared" si="15"/>
        <v>0</v>
      </c>
      <c r="AE264" s="123">
        <f t="shared" si="14"/>
        <v>0</v>
      </c>
      <c r="AF264" s="123">
        <f t="shared" si="14"/>
        <v>0</v>
      </c>
      <c r="AG264" s="123">
        <f t="shared" si="14"/>
        <v>0</v>
      </c>
      <c r="AH264" s="122">
        <f t="shared" si="12"/>
        <v>0</v>
      </c>
    </row>
    <row r="265" spans="1:34" s="74" customFormat="1" ht="15.75">
      <c r="A265" s="125">
        <v>274</v>
      </c>
      <c r="B265" s="78"/>
      <c r="C265" s="126" t="s">
        <v>276</v>
      </c>
      <c r="D265" s="272"/>
      <c r="E265" s="263">
        <f t="shared" si="13"/>
        <v>0</v>
      </c>
      <c r="F265" s="263"/>
      <c r="G265" s="263"/>
      <c r="H265" s="263">
        <f>IFERROR(VLOOKUP(A265,Cargas!$B$3:$I$93,3,FALSE),0)</f>
        <v>0</v>
      </c>
      <c r="I265" s="263">
        <f>IFERROR(VLOOKUP(A265,Cargas!$B$3:$I$93,4,FALSE),0)</f>
        <v>0</v>
      </c>
      <c r="J265" s="263">
        <f>IFERROR(VLOOKUP(A265,Cargas!$B$3:$I$93,5,FALSE),0)</f>
        <v>0</v>
      </c>
      <c r="K265" s="263">
        <f>IFERROR(VLOOKUP(A265,Cargas!$B$3:$I$93,6,FALSE),0)</f>
        <v>0</v>
      </c>
      <c r="L265" s="263">
        <f>IFERROR(VLOOKUP(A265,Cargas!$B$3:$I$93,7,FALSE),0)</f>
        <v>0</v>
      </c>
      <c r="AB265" s="123">
        <f t="shared" si="15"/>
        <v>0</v>
      </c>
      <c r="AC265" s="123">
        <f t="shared" si="15"/>
        <v>0</v>
      </c>
      <c r="AD265" s="123">
        <f t="shared" si="15"/>
        <v>0</v>
      </c>
      <c r="AE265" s="123">
        <f t="shared" si="14"/>
        <v>0</v>
      </c>
      <c r="AF265" s="123">
        <f t="shared" si="14"/>
        <v>0</v>
      </c>
      <c r="AG265" s="123">
        <f t="shared" si="14"/>
        <v>0</v>
      </c>
      <c r="AH265" s="122">
        <f t="shared" si="12"/>
        <v>0</v>
      </c>
    </row>
    <row r="266" spans="1:34" s="75" customFormat="1" ht="15.75">
      <c r="A266" s="125">
        <v>275</v>
      </c>
      <c r="B266" s="78"/>
      <c r="C266" s="126" t="s">
        <v>277</v>
      </c>
      <c r="D266" s="272"/>
      <c r="E266" s="263">
        <f t="shared" si="13"/>
        <v>0</v>
      </c>
      <c r="F266" s="263"/>
      <c r="G266" s="263"/>
      <c r="H266" s="263">
        <f>IFERROR(VLOOKUP(A266,Cargas!$B$3:$I$93,3,FALSE),0)</f>
        <v>0</v>
      </c>
      <c r="I266" s="263">
        <f>IFERROR(VLOOKUP(A266,Cargas!$B$3:$I$93,4,FALSE),0)</f>
        <v>0</v>
      </c>
      <c r="J266" s="263">
        <f>IFERROR(VLOOKUP(A266,Cargas!$B$3:$I$93,5,FALSE),0)</f>
        <v>0</v>
      </c>
      <c r="K266" s="263">
        <f>IFERROR(VLOOKUP(A266,Cargas!$B$3:$I$93,6,FALSE),0)</f>
        <v>0</v>
      </c>
      <c r="L266" s="263">
        <f>IFERROR(VLOOKUP(A266,Cargas!$B$3:$I$93,7,FALSE),0)</f>
        <v>0</v>
      </c>
      <c r="AB266" s="123">
        <f t="shared" si="15"/>
        <v>0</v>
      </c>
      <c r="AC266" s="123">
        <f t="shared" si="15"/>
        <v>0</v>
      </c>
      <c r="AD266" s="123">
        <f t="shared" si="15"/>
        <v>0</v>
      </c>
      <c r="AE266" s="123">
        <f t="shared" si="14"/>
        <v>0</v>
      </c>
      <c r="AF266" s="123">
        <f t="shared" si="14"/>
        <v>0</v>
      </c>
      <c r="AG266" s="123">
        <f t="shared" si="14"/>
        <v>0</v>
      </c>
      <c r="AH266" s="122">
        <f t="shared" si="12"/>
        <v>0</v>
      </c>
    </row>
    <row r="267" spans="1:34" s="75" customFormat="1" ht="15.75">
      <c r="A267" s="125">
        <v>276</v>
      </c>
      <c r="B267" s="78"/>
      <c r="C267" s="126" t="s">
        <v>278</v>
      </c>
      <c r="D267" s="272"/>
      <c r="E267" s="263">
        <f t="shared" si="13"/>
        <v>0</v>
      </c>
      <c r="F267" s="263"/>
      <c r="G267" s="263"/>
      <c r="H267" s="263">
        <f>IFERROR(VLOOKUP(A267,Cargas!$B$3:$I$93,3,FALSE),0)</f>
        <v>0</v>
      </c>
      <c r="I267" s="263">
        <f>IFERROR(VLOOKUP(A267,Cargas!$B$3:$I$93,4,FALSE),0)</f>
        <v>0</v>
      </c>
      <c r="J267" s="263">
        <f>IFERROR(VLOOKUP(A267,Cargas!$B$3:$I$93,5,FALSE),0)</f>
        <v>0</v>
      </c>
      <c r="K267" s="263">
        <f>IFERROR(VLOOKUP(A267,Cargas!$B$3:$I$93,6,FALSE),0)</f>
        <v>0</v>
      </c>
      <c r="L267" s="263">
        <f>IFERROR(VLOOKUP(A267,Cargas!$B$3:$I$93,7,FALSE),0)</f>
        <v>0</v>
      </c>
      <c r="AB267" s="123">
        <f t="shared" si="15"/>
        <v>0</v>
      </c>
      <c r="AC267" s="123">
        <f t="shared" si="15"/>
        <v>0</v>
      </c>
      <c r="AD267" s="123">
        <f t="shared" si="15"/>
        <v>0</v>
      </c>
      <c r="AE267" s="123">
        <f t="shared" si="14"/>
        <v>0</v>
      </c>
      <c r="AF267" s="123">
        <f t="shared" si="14"/>
        <v>0</v>
      </c>
      <c r="AG267" s="123">
        <f t="shared" si="14"/>
        <v>0</v>
      </c>
      <c r="AH267" s="122">
        <f t="shared" si="12"/>
        <v>0</v>
      </c>
    </row>
    <row r="268" spans="1:34" s="74" customFormat="1" ht="15.75">
      <c r="A268" s="125">
        <v>278</v>
      </c>
      <c r="B268" s="78"/>
      <c r="C268" s="126" t="s">
        <v>280</v>
      </c>
      <c r="D268" s="272"/>
      <c r="E268" s="263">
        <f t="shared" si="13"/>
        <v>0</v>
      </c>
      <c r="F268" s="263"/>
      <c r="G268" s="263"/>
      <c r="H268" s="263">
        <f>IFERROR(VLOOKUP(A268,Cargas!$B$3:$I$93,3,FALSE),0)</f>
        <v>0</v>
      </c>
      <c r="I268" s="263">
        <f>IFERROR(VLOOKUP(A268,Cargas!$B$3:$I$93,4,FALSE),0)</f>
        <v>0</v>
      </c>
      <c r="J268" s="263">
        <f>IFERROR(VLOOKUP(A268,Cargas!$B$3:$I$93,5,FALSE),0)</f>
        <v>0</v>
      </c>
      <c r="K268" s="263">
        <f>IFERROR(VLOOKUP(A268,Cargas!$B$3:$I$93,6,FALSE),0)</f>
        <v>0</v>
      </c>
      <c r="L268" s="263">
        <f>IFERROR(VLOOKUP(A268,Cargas!$B$3:$I$93,7,FALSE),0)</f>
        <v>0</v>
      </c>
      <c r="AB268" s="123">
        <f t="shared" si="15"/>
        <v>0</v>
      </c>
      <c r="AC268" s="123">
        <f t="shared" si="15"/>
        <v>0</v>
      </c>
      <c r="AD268" s="123">
        <f t="shared" si="15"/>
        <v>0</v>
      </c>
      <c r="AE268" s="123">
        <f t="shared" si="14"/>
        <v>0</v>
      </c>
      <c r="AF268" s="123">
        <f t="shared" si="14"/>
        <v>0</v>
      </c>
      <c r="AG268" s="123">
        <f t="shared" si="14"/>
        <v>0</v>
      </c>
      <c r="AH268" s="122">
        <f t="shared" si="12"/>
        <v>0</v>
      </c>
    </row>
    <row r="269" spans="1:34" s="75" customFormat="1" ht="15.75">
      <c r="A269" s="125">
        <v>277</v>
      </c>
      <c r="B269" s="78"/>
      <c r="C269" s="126" t="s">
        <v>279</v>
      </c>
      <c r="D269" s="272"/>
      <c r="E269" s="263">
        <f t="shared" si="13"/>
        <v>0</v>
      </c>
      <c r="F269" s="263"/>
      <c r="G269" s="263"/>
      <c r="H269" s="263">
        <f>IFERROR(VLOOKUP(A269,Cargas!$B$3:$I$93,3,FALSE),0)</f>
        <v>0</v>
      </c>
      <c r="I269" s="263">
        <f>IFERROR(VLOOKUP(A269,Cargas!$B$3:$I$93,4,FALSE),0)</f>
        <v>0</v>
      </c>
      <c r="J269" s="263">
        <f>IFERROR(VLOOKUP(A269,Cargas!$B$3:$I$93,5,FALSE),0)</f>
        <v>0</v>
      </c>
      <c r="K269" s="263">
        <f>IFERROR(VLOOKUP(A269,Cargas!$B$3:$I$93,6,FALSE),0)</f>
        <v>0</v>
      </c>
      <c r="L269" s="263">
        <f>IFERROR(VLOOKUP(A269,Cargas!$B$3:$I$93,7,FALSE),0)</f>
        <v>0</v>
      </c>
      <c r="AB269" s="123">
        <f t="shared" si="15"/>
        <v>0</v>
      </c>
      <c r="AC269" s="123">
        <f t="shared" si="15"/>
        <v>0</v>
      </c>
      <c r="AD269" s="123">
        <f t="shared" si="15"/>
        <v>0</v>
      </c>
      <c r="AE269" s="123">
        <f t="shared" si="14"/>
        <v>0</v>
      </c>
      <c r="AF269" s="123">
        <f t="shared" si="14"/>
        <v>0</v>
      </c>
      <c r="AG269" s="123">
        <f t="shared" si="14"/>
        <v>0</v>
      </c>
      <c r="AH269" s="122">
        <f t="shared" si="12"/>
        <v>0</v>
      </c>
    </row>
    <row r="270" spans="1:34" s="75" customFormat="1" ht="15.75">
      <c r="A270" s="125">
        <v>279</v>
      </c>
      <c r="B270" s="78"/>
      <c r="C270" s="126" t="s">
        <v>292</v>
      </c>
      <c r="D270" s="272"/>
      <c r="E270" s="263">
        <f t="shared" si="13"/>
        <v>0</v>
      </c>
      <c r="F270" s="263"/>
      <c r="G270" s="263"/>
      <c r="H270" s="263">
        <f>IFERROR(VLOOKUP(A270,Cargas!$B$3:$I$93,3,FALSE),0)</f>
        <v>0</v>
      </c>
      <c r="I270" s="263">
        <f>IFERROR(VLOOKUP(A270,Cargas!$B$3:$I$93,4,FALSE),0)</f>
        <v>0</v>
      </c>
      <c r="J270" s="263">
        <f>IFERROR(VLOOKUP(A270,Cargas!$B$3:$I$93,5,FALSE),0)</f>
        <v>0</v>
      </c>
      <c r="K270" s="263">
        <f>IFERROR(VLOOKUP(A270,Cargas!$B$3:$I$93,6,FALSE),0)</f>
        <v>0</v>
      </c>
      <c r="L270" s="263">
        <f>IFERROR(VLOOKUP(A270,Cargas!$B$3:$I$93,7,FALSE),0)</f>
        <v>0</v>
      </c>
      <c r="AB270" s="123">
        <f t="shared" si="15"/>
        <v>0</v>
      </c>
      <c r="AC270" s="123">
        <f t="shared" si="15"/>
        <v>0</v>
      </c>
      <c r="AD270" s="123">
        <f t="shared" si="15"/>
        <v>0</v>
      </c>
      <c r="AE270" s="123">
        <f t="shared" si="14"/>
        <v>0</v>
      </c>
      <c r="AF270" s="123">
        <f t="shared" si="14"/>
        <v>0</v>
      </c>
      <c r="AG270" s="123">
        <f t="shared" si="14"/>
        <v>0</v>
      </c>
      <c r="AH270" s="122">
        <f t="shared" si="12"/>
        <v>0</v>
      </c>
    </row>
    <row r="271" spans="1:34" s="75" customFormat="1" ht="15.75">
      <c r="A271" s="125">
        <v>280</v>
      </c>
      <c r="B271" s="78"/>
      <c r="C271" s="126">
        <v>280</v>
      </c>
      <c r="D271" s="272"/>
      <c r="E271" s="263">
        <f t="shared" si="13"/>
        <v>0</v>
      </c>
      <c r="F271" s="263"/>
      <c r="G271" s="263"/>
      <c r="H271" s="263">
        <f>IFERROR(VLOOKUP(A271,Cargas!$B$3:$I$93,3,FALSE),0)</f>
        <v>0</v>
      </c>
      <c r="I271" s="263">
        <f>IFERROR(VLOOKUP(A271,Cargas!$B$3:$I$93,4,FALSE),0)</f>
        <v>0</v>
      </c>
      <c r="J271" s="263">
        <f>IFERROR(VLOOKUP(A271,Cargas!$B$3:$I$93,5,FALSE),0)</f>
        <v>0</v>
      </c>
      <c r="K271" s="263">
        <f>IFERROR(VLOOKUP(A271,Cargas!$B$3:$I$93,6,FALSE),0)</f>
        <v>0</v>
      </c>
      <c r="L271" s="263">
        <f>IFERROR(VLOOKUP(A271,Cargas!$B$3:$I$93,7,FALSE),0)</f>
        <v>0</v>
      </c>
      <c r="AB271" s="123">
        <f t="shared" si="15"/>
        <v>0</v>
      </c>
      <c r="AC271" s="123">
        <f t="shared" si="15"/>
        <v>0</v>
      </c>
      <c r="AD271" s="123">
        <f t="shared" si="15"/>
        <v>0</v>
      </c>
      <c r="AE271" s="123">
        <f t="shared" si="14"/>
        <v>0</v>
      </c>
      <c r="AF271" s="123">
        <f t="shared" si="14"/>
        <v>0</v>
      </c>
      <c r="AG271" s="123">
        <f t="shared" si="14"/>
        <v>0</v>
      </c>
      <c r="AH271" s="122">
        <f t="shared" ref="AH271:AH334" si="16">+SUM(AB271:AG271)</f>
        <v>0</v>
      </c>
    </row>
    <row r="272" spans="1:34" s="75" customFormat="1" ht="15.75">
      <c r="A272" s="125">
        <v>282</v>
      </c>
      <c r="B272" s="78"/>
      <c r="C272" s="126">
        <v>282</v>
      </c>
      <c r="D272" s="272"/>
      <c r="E272" s="263">
        <f t="shared" si="13"/>
        <v>0</v>
      </c>
      <c r="F272" s="263"/>
      <c r="G272" s="263"/>
      <c r="H272" s="263">
        <f>IFERROR(VLOOKUP(A272,Cargas!$B$3:$I$93,3,FALSE),0)</f>
        <v>0</v>
      </c>
      <c r="I272" s="263">
        <f>IFERROR(VLOOKUP(A272,Cargas!$B$3:$I$93,4,FALSE),0)</f>
        <v>0</v>
      </c>
      <c r="J272" s="263">
        <f>IFERROR(VLOOKUP(A272,Cargas!$B$3:$I$93,5,FALSE),0)</f>
        <v>0</v>
      </c>
      <c r="K272" s="263">
        <f>IFERROR(VLOOKUP(A272,Cargas!$B$3:$I$93,6,FALSE),0)</f>
        <v>0</v>
      </c>
      <c r="L272" s="263">
        <f>IFERROR(VLOOKUP(A272,Cargas!$B$3:$I$93,7,FALSE),0)</f>
        <v>0</v>
      </c>
      <c r="AB272" s="123">
        <f t="shared" si="15"/>
        <v>0</v>
      </c>
      <c r="AC272" s="123">
        <f t="shared" si="15"/>
        <v>0</v>
      </c>
      <c r="AD272" s="123">
        <f t="shared" si="15"/>
        <v>0</v>
      </c>
      <c r="AE272" s="123">
        <f t="shared" si="14"/>
        <v>0</v>
      </c>
      <c r="AF272" s="123">
        <f t="shared" si="14"/>
        <v>0</v>
      </c>
      <c r="AG272" s="123">
        <f t="shared" si="14"/>
        <v>0</v>
      </c>
      <c r="AH272" s="122">
        <f t="shared" si="16"/>
        <v>0</v>
      </c>
    </row>
    <row r="273" spans="1:34" s="75" customFormat="1" ht="15.75">
      <c r="A273" s="125">
        <v>283</v>
      </c>
      <c r="B273" s="78"/>
      <c r="C273" s="126">
        <v>283</v>
      </c>
      <c r="D273" s="272"/>
      <c r="E273" s="263">
        <f t="shared" ref="E273" si="17">+SUM(H273:L273)</f>
        <v>0</v>
      </c>
      <c r="F273" s="263"/>
      <c r="G273" s="263"/>
      <c r="H273" s="263">
        <f>IFERROR(VLOOKUP(A273,Cargas!$B$3:$I$93,3,FALSE),0)</f>
        <v>0</v>
      </c>
      <c r="I273" s="263">
        <f>IFERROR(VLOOKUP(A273,Cargas!$B$3:$I$93,4,FALSE),0)</f>
        <v>0</v>
      </c>
      <c r="J273" s="263">
        <f>IFERROR(VLOOKUP(A273,Cargas!$B$3:$I$93,5,FALSE),0)</f>
        <v>0</v>
      </c>
      <c r="K273" s="263">
        <f>IFERROR(VLOOKUP(A273,Cargas!$B$3:$I$93,6,FALSE),0)</f>
        <v>0</v>
      </c>
      <c r="L273" s="263">
        <f>IFERROR(VLOOKUP(A273,Cargas!$B$3:$I$93,7,FALSE),0)</f>
        <v>0</v>
      </c>
      <c r="AB273" s="123">
        <f t="shared" ref="AB273" si="18">+G273/G$9</f>
        <v>0</v>
      </c>
      <c r="AC273" s="123">
        <f t="shared" ref="AC273" si="19">+H273/H$9</f>
        <v>0</v>
      </c>
      <c r="AD273" s="123">
        <f t="shared" ref="AD273" si="20">+I273/I$9</f>
        <v>0</v>
      </c>
      <c r="AE273" s="123">
        <f t="shared" ref="AE273" si="21">+J273/J$9</f>
        <v>0</v>
      </c>
      <c r="AF273" s="123">
        <f t="shared" ref="AF273" si="22">+K273/K$9</f>
        <v>0</v>
      </c>
      <c r="AG273" s="123">
        <f t="shared" ref="AG273" si="23">+L273/L$9</f>
        <v>0</v>
      </c>
      <c r="AH273" s="122">
        <f t="shared" ref="AH273" si="24">+SUM(AB273:AG273)</f>
        <v>0</v>
      </c>
    </row>
    <row r="274" spans="1:34" s="75" customFormat="1" ht="15.75">
      <c r="A274" s="125">
        <v>286</v>
      </c>
      <c r="B274" s="78"/>
      <c r="C274" s="126" t="s">
        <v>288</v>
      </c>
      <c r="D274" s="272"/>
      <c r="E274" s="263">
        <f t="shared" ref="E274:E278" si="25">+SUM(H274:L274)</f>
        <v>0</v>
      </c>
      <c r="F274" s="263"/>
      <c r="G274" s="263"/>
      <c r="H274" s="263">
        <f>IFERROR(VLOOKUP(A274,Cargas!$B$3:$I$93,3,FALSE),0)</f>
        <v>0</v>
      </c>
      <c r="I274" s="263">
        <f>IFERROR(VLOOKUP(A274,Cargas!$B$3:$I$93,4,FALSE),0)</f>
        <v>0</v>
      </c>
      <c r="J274" s="263">
        <f>IFERROR(VLOOKUP(A274,Cargas!$B$3:$I$93,5,FALSE),0)</f>
        <v>0</v>
      </c>
      <c r="K274" s="263">
        <f>IFERROR(VLOOKUP(A274,Cargas!$B$3:$I$93,6,FALSE),0)</f>
        <v>0</v>
      </c>
      <c r="L274" s="263">
        <f>IFERROR(VLOOKUP(A274,Cargas!$B$3:$I$93,7,FALSE),0)</f>
        <v>0</v>
      </c>
      <c r="AB274" s="123">
        <f t="shared" si="15"/>
        <v>0</v>
      </c>
      <c r="AC274" s="123">
        <f t="shared" si="15"/>
        <v>0</v>
      </c>
      <c r="AD274" s="123">
        <f t="shared" si="15"/>
        <v>0</v>
      </c>
      <c r="AE274" s="123">
        <f t="shared" si="14"/>
        <v>0</v>
      </c>
      <c r="AF274" s="123">
        <f t="shared" si="14"/>
        <v>0</v>
      </c>
      <c r="AG274" s="123">
        <f t="shared" si="14"/>
        <v>0</v>
      </c>
      <c r="AH274" s="122">
        <f t="shared" si="16"/>
        <v>0</v>
      </c>
    </row>
    <row r="275" spans="1:34" s="75" customFormat="1" ht="15.75">
      <c r="A275" s="125">
        <v>290</v>
      </c>
      <c r="B275" s="78"/>
      <c r="C275" s="126">
        <v>290</v>
      </c>
      <c r="D275" s="272"/>
      <c r="E275" s="263">
        <f t="shared" si="25"/>
        <v>0</v>
      </c>
      <c r="F275" s="263"/>
      <c r="G275" s="263"/>
      <c r="H275" s="263">
        <f>IFERROR(VLOOKUP(A275,Cargas!$B$3:$I$93,3,FALSE),0)</f>
        <v>0</v>
      </c>
      <c r="I275" s="263">
        <f>IFERROR(VLOOKUP(A275,Cargas!$B$3:$I$93,4,FALSE),0)</f>
        <v>0</v>
      </c>
      <c r="J275" s="263">
        <f>IFERROR(VLOOKUP(A275,Cargas!$B$3:$I$93,5,FALSE),0)</f>
        <v>0</v>
      </c>
      <c r="K275" s="263">
        <f>IFERROR(VLOOKUP(A275,Cargas!$B$3:$I$93,6,FALSE),0)</f>
        <v>0</v>
      </c>
      <c r="L275" s="263">
        <f>IFERROR(VLOOKUP(A275,Cargas!$B$3:$I$93,7,FALSE),0)</f>
        <v>0</v>
      </c>
      <c r="AB275" s="123">
        <f t="shared" si="15"/>
        <v>0</v>
      </c>
      <c r="AC275" s="123">
        <f t="shared" si="15"/>
        <v>0</v>
      </c>
      <c r="AD275" s="123">
        <f t="shared" si="15"/>
        <v>0</v>
      </c>
      <c r="AE275" s="123">
        <f t="shared" si="14"/>
        <v>0</v>
      </c>
      <c r="AF275" s="123">
        <f t="shared" si="14"/>
        <v>0</v>
      </c>
      <c r="AG275" s="123">
        <f t="shared" si="14"/>
        <v>0</v>
      </c>
      <c r="AH275" s="122">
        <f t="shared" si="16"/>
        <v>0</v>
      </c>
    </row>
    <row r="276" spans="1:34" s="74" customFormat="1" ht="15.75">
      <c r="A276" s="125">
        <v>291</v>
      </c>
      <c r="B276" s="78"/>
      <c r="C276" s="126">
        <v>291</v>
      </c>
      <c r="D276" s="272"/>
      <c r="E276" s="263">
        <f t="shared" si="25"/>
        <v>0</v>
      </c>
      <c r="F276" s="263"/>
      <c r="G276" s="263"/>
      <c r="H276" s="263">
        <f>IFERROR(VLOOKUP(A276,Cargas!$B$3:$I$93,3,FALSE),0)</f>
        <v>0</v>
      </c>
      <c r="I276" s="263">
        <f>IFERROR(VLOOKUP(A276,Cargas!$B$3:$I$93,4,FALSE),0)</f>
        <v>0</v>
      </c>
      <c r="J276" s="263">
        <f>IFERROR(VLOOKUP(A276,Cargas!$B$3:$I$93,5,FALSE),0)</f>
        <v>0</v>
      </c>
      <c r="K276" s="263">
        <f>IFERROR(VLOOKUP(A276,Cargas!$B$3:$I$93,6,FALSE),0)</f>
        <v>0</v>
      </c>
      <c r="L276" s="263">
        <f>IFERROR(VLOOKUP(A276,Cargas!$B$3:$I$93,7,FALSE),0)</f>
        <v>0</v>
      </c>
      <c r="AB276" s="123">
        <f t="shared" si="15"/>
        <v>0</v>
      </c>
      <c r="AC276" s="123">
        <f t="shared" si="15"/>
        <v>0</v>
      </c>
      <c r="AD276" s="123">
        <f t="shared" si="15"/>
        <v>0</v>
      </c>
      <c r="AE276" s="123">
        <f t="shared" si="14"/>
        <v>0</v>
      </c>
      <c r="AF276" s="123">
        <f t="shared" si="14"/>
        <v>0</v>
      </c>
      <c r="AG276" s="123">
        <f t="shared" si="14"/>
        <v>0</v>
      </c>
      <c r="AH276" s="122">
        <f t="shared" si="16"/>
        <v>0</v>
      </c>
    </row>
    <row r="277" spans="1:34" s="75" customFormat="1" ht="15.75">
      <c r="A277" s="125">
        <v>292</v>
      </c>
      <c r="B277" s="78"/>
      <c r="C277" s="127" t="s">
        <v>284</v>
      </c>
      <c r="D277" s="273"/>
      <c r="E277" s="263">
        <f t="shared" si="25"/>
        <v>0</v>
      </c>
      <c r="F277" s="263"/>
      <c r="G277" s="263"/>
      <c r="H277" s="263">
        <f>IFERROR(VLOOKUP(A277,Cargas!$B$3:$I$93,3,FALSE),0)</f>
        <v>0</v>
      </c>
      <c r="I277" s="263">
        <f>IFERROR(VLOOKUP(A277,Cargas!$B$3:$I$93,4,FALSE),0)</f>
        <v>0</v>
      </c>
      <c r="J277" s="263">
        <f>IFERROR(VLOOKUP(A277,Cargas!$B$3:$I$93,5,FALSE),0)</f>
        <v>0</v>
      </c>
      <c r="K277" s="263">
        <f>IFERROR(VLOOKUP(A277,Cargas!$B$3:$I$93,6,FALSE),0)</f>
        <v>0</v>
      </c>
      <c r="L277" s="263">
        <f>IFERROR(VLOOKUP(A277,Cargas!$B$3:$I$93,7,FALSE),0)</f>
        <v>0</v>
      </c>
      <c r="AB277" s="123">
        <f t="shared" si="15"/>
        <v>0</v>
      </c>
      <c r="AC277" s="123">
        <f t="shared" si="15"/>
        <v>0</v>
      </c>
      <c r="AD277" s="123">
        <f t="shared" si="15"/>
        <v>0</v>
      </c>
      <c r="AE277" s="123">
        <f t="shared" si="14"/>
        <v>0</v>
      </c>
      <c r="AF277" s="123">
        <f t="shared" si="14"/>
        <v>0</v>
      </c>
      <c r="AG277" s="123">
        <f t="shared" si="14"/>
        <v>0</v>
      </c>
      <c r="AH277" s="122">
        <f t="shared" si="16"/>
        <v>0</v>
      </c>
    </row>
    <row r="278" spans="1:34" s="75" customFormat="1" ht="15.75">
      <c r="A278" s="125">
        <v>293</v>
      </c>
      <c r="B278" s="78"/>
      <c r="C278" s="127" t="s">
        <v>283</v>
      </c>
      <c r="D278" s="273"/>
      <c r="E278" s="263">
        <f t="shared" si="25"/>
        <v>0</v>
      </c>
      <c r="F278" s="263"/>
      <c r="G278" s="263"/>
      <c r="H278" s="263">
        <f>IFERROR(VLOOKUP(A278,Cargas!$B$3:$I$93,3,FALSE),0)</f>
        <v>0</v>
      </c>
      <c r="I278" s="263">
        <f>IFERROR(VLOOKUP(A278,Cargas!$B$3:$I$93,4,FALSE),0)</f>
        <v>0</v>
      </c>
      <c r="J278" s="263">
        <f>IFERROR(VLOOKUP(A278,Cargas!$B$3:$I$93,5,FALSE),0)</f>
        <v>0</v>
      </c>
      <c r="K278" s="263">
        <f>IFERROR(VLOOKUP(A278,Cargas!$B$3:$I$93,6,FALSE),0)</f>
        <v>0</v>
      </c>
      <c r="L278" s="263">
        <f>IFERROR(VLOOKUP(A278,Cargas!$B$3:$I$93,7,FALSE),0)</f>
        <v>0</v>
      </c>
      <c r="AB278" s="123">
        <f t="shared" si="15"/>
        <v>0</v>
      </c>
      <c r="AC278" s="123">
        <f t="shared" si="15"/>
        <v>0</v>
      </c>
      <c r="AD278" s="123">
        <f t="shared" si="15"/>
        <v>0</v>
      </c>
      <c r="AE278" s="123">
        <f t="shared" si="14"/>
        <v>0</v>
      </c>
      <c r="AF278" s="123">
        <f t="shared" si="14"/>
        <v>0</v>
      </c>
      <c r="AG278" s="123">
        <f t="shared" si="14"/>
        <v>0</v>
      </c>
      <c r="AH278" s="122">
        <f t="shared" si="16"/>
        <v>0</v>
      </c>
    </row>
    <row r="279" spans="1:34" s="80" customFormat="1" ht="15.75">
      <c r="A279" s="125"/>
      <c r="B279" s="130" t="s">
        <v>285</v>
      </c>
      <c r="C279" s="81" t="s">
        <v>52</v>
      </c>
      <c r="D279" s="276"/>
      <c r="E279" s="298">
        <f>+SUM(E16:E278)</f>
        <v>0</v>
      </c>
      <c r="F279" s="264"/>
      <c r="G279" s="264"/>
      <c r="H279" s="264">
        <f>SUM(H16:H278)</f>
        <v>0</v>
      </c>
      <c r="I279" s="264">
        <f t="shared" ref="I279:L279" si="26">SUM(I16:I278)</f>
        <v>0</v>
      </c>
      <c r="J279" s="264">
        <f t="shared" si="26"/>
        <v>0</v>
      </c>
      <c r="K279" s="264">
        <f t="shared" si="26"/>
        <v>0</v>
      </c>
      <c r="L279" s="264">
        <f t="shared" si="26"/>
        <v>0</v>
      </c>
      <c r="AB279" s="123"/>
      <c r="AC279" s="123"/>
      <c r="AD279" s="123"/>
      <c r="AE279" s="123"/>
      <c r="AF279" s="123"/>
      <c r="AG279" s="123"/>
      <c r="AH279" s="122"/>
    </row>
    <row r="280" spans="1:34" ht="15.75">
      <c r="A280" s="125"/>
      <c r="B280" s="113"/>
      <c r="C280" s="114" t="s">
        <v>47</v>
      </c>
      <c r="D280" s="265"/>
      <c r="E280" s="265"/>
      <c r="F280" s="265"/>
      <c r="G280" s="265"/>
      <c r="H280" s="265"/>
      <c r="I280" s="265"/>
      <c r="J280" s="265"/>
      <c r="K280" s="265"/>
      <c r="L280" s="265"/>
      <c r="AB280" s="123"/>
      <c r="AC280" s="123"/>
      <c r="AD280" s="123"/>
      <c r="AE280" s="123"/>
      <c r="AF280" s="123"/>
      <c r="AG280" s="123"/>
      <c r="AH280" s="122"/>
    </row>
    <row r="281" spans="1:34" ht="15.75">
      <c r="A281" s="125">
        <v>1</v>
      </c>
      <c r="B281" s="286">
        <f>IFERROR(VLOOKUP(A281,Cargas!$B$3:$I$93,9,FALSE),0)</f>
        <v>0</v>
      </c>
      <c r="C281" s="127" t="s">
        <v>8</v>
      </c>
      <c r="D281" s="271">
        <f>+SUM(H281:L281)</f>
        <v>0</v>
      </c>
      <c r="E281" s="268">
        <f t="shared" ref="E281:E345" si="27">+SUM(H281:L281)</f>
        <v>0</v>
      </c>
      <c r="F281" s="266"/>
      <c r="G281" s="266"/>
      <c r="H281" s="267">
        <f>IFERROR( VLOOKUP(A281,Descargas!$B$3:$I$94,3,FALSE),0)</f>
        <v>0</v>
      </c>
      <c r="I281" s="266">
        <f>IFERROR( VLOOKUP(A281,Descargas!$B$3:$I$94,4,FALSE),0)</f>
        <v>0</v>
      </c>
      <c r="J281" s="266">
        <f>IFERROR( VLOOKUP(A281,Descargas!$B$3:$I$94,5,FALSE),0)</f>
        <v>0</v>
      </c>
      <c r="K281" s="266">
        <f>IFERROR( VLOOKUP(A281,Descargas!$B$3:$I$94,6,FALSE),0)</f>
        <v>0</v>
      </c>
      <c r="L281" s="266">
        <f>IFERROR( VLOOKUP(A281,Descargas!$B$3:$I$94,7,FALSE),0)</f>
        <v>0</v>
      </c>
      <c r="AB281" s="123">
        <f t="shared" si="15"/>
        <v>0</v>
      </c>
      <c r="AC281" s="123">
        <f t="shared" si="15"/>
        <v>0</v>
      </c>
      <c r="AD281" s="123">
        <f t="shared" si="15"/>
        <v>0</v>
      </c>
      <c r="AE281" s="123">
        <f t="shared" si="14"/>
        <v>0</v>
      </c>
      <c r="AF281" s="123">
        <f t="shared" si="14"/>
        <v>0</v>
      </c>
      <c r="AG281" s="123">
        <f t="shared" si="14"/>
        <v>0</v>
      </c>
      <c r="AH281" s="122">
        <f t="shared" si="16"/>
        <v>0</v>
      </c>
    </row>
    <row r="282" spans="1:34" s="85" customFormat="1" ht="15.75">
      <c r="A282" s="125">
        <v>2</v>
      </c>
      <c r="B282" s="286">
        <f>IFERROR(VLOOKUP(A282,Cargas!$B$3:$I$93,9,FALSE),0)</f>
        <v>0</v>
      </c>
      <c r="C282" s="127" t="s">
        <v>9</v>
      </c>
      <c r="D282" s="271">
        <f>+SUM(H282:L282)</f>
        <v>0</v>
      </c>
      <c r="E282" s="268">
        <f t="shared" si="27"/>
        <v>0</v>
      </c>
      <c r="F282" s="266"/>
      <c r="G282" s="266"/>
      <c r="H282" s="266">
        <f>IFERROR( VLOOKUP(A282,Descargas!$B$3:$I$94,3,FALSE),0)</f>
        <v>0</v>
      </c>
      <c r="I282" s="266">
        <f>IFERROR( VLOOKUP(A282,Descargas!$B$3:$I$94,4,FALSE),0)</f>
        <v>0</v>
      </c>
      <c r="J282" s="266">
        <f>IFERROR( VLOOKUP(A282,Descargas!$B$3:$I$94,5,FALSE),0)</f>
        <v>0</v>
      </c>
      <c r="K282" s="266">
        <f>IFERROR( VLOOKUP(A282,Descargas!$B$3:$I$94,6,FALSE),0)</f>
        <v>0</v>
      </c>
      <c r="L282" s="266">
        <f>IFERROR( VLOOKUP(A282,Descargas!$B$3:$I$94,7,FALSE),0)</f>
        <v>0</v>
      </c>
      <c r="AB282" s="123">
        <f t="shared" si="15"/>
        <v>0</v>
      </c>
      <c r="AC282" s="123">
        <f t="shared" si="15"/>
        <v>0</v>
      </c>
      <c r="AD282" s="123">
        <f t="shared" si="15"/>
        <v>0</v>
      </c>
      <c r="AE282" s="123">
        <f t="shared" si="14"/>
        <v>0</v>
      </c>
      <c r="AF282" s="123">
        <f t="shared" si="14"/>
        <v>0</v>
      </c>
      <c r="AG282" s="123">
        <f t="shared" si="14"/>
        <v>0</v>
      </c>
      <c r="AH282" s="122">
        <f t="shared" si="16"/>
        <v>0</v>
      </c>
    </row>
    <row r="283" spans="1:34" s="85" customFormat="1" ht="15.75">
      <c r="A283" s="125">
        <v>3</v>
      </c>
      <c r="B283" s="286">
        <f>IFERROR(VLOOKUP(A283,Cargas!$B$3:$I$93,9,FALSE),0)</f>
        <v>0</v>
      </c>
      <c r="C283" s="127" t="s">
        <v>10</v>
      </c>
      <c r="D283" s="271">
        <f>+SUM(H283:L283)</f>
        <v>0</v>
      </c>
      <c r="E283" s="268">
        <f t="shared" si="27"/>
        <v>0</v>
      </c>
      <c r="F283" s="266"/>
      <c r="G283" s="266"/>
      <c r="H283" s="266">
        <f>IFERROR( VLOOKUP(A283,Descargas!$B$3:$I$94,3,FALSE),0)</f>
        <v>0</v>
      </c>
      <c r="I283" s="266">
        <f>IFERROR( VLOOKUP(A283,Descargas!$B$3:$I$94,4,FALSE),0)</f>
        <v>0</v>
      </c>
      <c r="J283" s="266">
        <f>IFERROR( VLOOKUP(A283,Descargas!$B$3:$I$94,5,FALSE),0)</f>
        <v>0</v>
      </c>
      <c r="K283" s="266">
        <f>IFERROR( VLOOKUP(A283,Descargas!$B$3:$I$94,6,FALSE),0)</f>
        <v>0</v>
      </c>
      <c r="L283" s="266">
        <f>IFERROR( VLOOKUP(A283,Descargas!$B$3:$I$94,7,FALSE),0)</f>
        <v>0</v>
      </c>
      <c r="AB283" s="123">
        <f t="shared" si="15"/>
        <v>0</v>
      </c>
      <c r="AC283" s="123">
        <f t="shared" si="15"/>
        <v>0</v>
      </c>
      <c r="AD283" s="123">
        <f t="shared" si="15"/>
        <v>0</v>
      </c>
      <c r="AE283" s="123">
        <f t="shared" si="14"/>
        <v>0</v>
      </c>
      <c r="AF283" s="123">
        <f t="shared" si="14"/>
        <v>0</v>
      </c>
      <c r="AG283" s="123">
        <f t="shared" si="14"/>
        <v>0</v>
      </c>
      <c r="AH283" s="122">
        <f t="shared" si="16"/>
        <v>0</v>
      </c>
    </row>
    <row r="284" spans="1:34" ht="15.75">
      <c r="A284" s="125">
        <v>4</v>
      </c>
      <c r="B284" s="286">
        <f>IFERROR(VLOOKUP(A284,Cargas!$B$3:$I$93,9,FALSE),0)</f>
        <v>0</v>
      </c>
      <c r="C284" s="127" t="s">
        <v>11</v>
      </c>
      <c r="D284" s="271">
        <f>+SUM(H284:L284)</f>
        <v>0</v>
      </c>
      <c r="E284" s="268">
        <f t="shared" si="27"/>
        <v>0</v>
      </c>
      <c r="F284" s="266"/>
      <c r="G284" s="266"/>
      <c r="H284" s="266">
        <f>IFERROR( VLOOKUP(A284,Descargas!$B$3:$I$94,3,FALSE),0)</f>
        <v>0</v>
      </c>
      <c r="I284" s="266">
        <f>IFERROR( VLOOKUP(A284,Descargas!$B$3:$I$94,4,FALSE),0)</f>
        <v>0</v>
      </c>
      <c r="J284" s="266">
        <f>IFERROR( VLOOKUP(A284,Descargas!$B$3:$I$94,5,FALSE),0)</f>
        <v>0</v>
      </c>
      <c r="K284" s="266">
        <f>IFERROR( VLOOKUP(A284,Descargas!$B$3:$I$94,6,FALSE),0)</f>
        <v>0</v>
      </c>
      <c r="L284" s="266">
        <f>IFERROR( VLOOKUP(A284,Descargas!$B$3:$I$94,7,FALSE),0)</f>
        <v>0</v>
      </c>
      <c r="AB284" s="123">
        <f t="shared" si="15"/>
        <v>0</v>
      </c>
      <c r="AC284" s="123">
        <f t="shared" si="15"/>
        <v>0</v>
      </c>
      <c r="AD284" s="123">
        <f t="shared" si="15"/>
        <v>0</v>
      </c>
      <c r="AE284" s="123">
        <f t="shared" si="14"/>
        <v>0</v>
      </c>
      <c r="AF284" s="123">
        <f t="shared" si="14"/>
        <v>0</v>
      </c>
      <c r="AG284" s="123">
        <f t="shared" si="14"/>
        <v>0</v>
      </c>
      <c r="AH284" s="122">
        <f t="shared" si="16"/>
        <v>0</v>
      </c>
    </row>
    <row r="285" spans="1:34" s="85" customFormat="1" ht="15.75">
      <c r="A285" s="125">
        <v>5</v>
      </c>
      <c r="B285" s="286">
        <f>IFERROR(VLOOKUP(A285,Cargas!$B$3:$I$93,9,FALSE),0)</f>
        <v>0</v>
      </c>
      <c r="C285" s="127" t="s">
        <v>12</v>
      </c>
      <c r="D285" s="271">
        <f>+SUM(H285:L285)</f>
        <v>0</v>
      </c>
      <c r="E285" s="268">
        <f t="shared" si="27"/>
        <v>0</v>
      </c>
      <c r="F285" s="266"/>
      <c r="G285" s="266"/>
      <c r="H285" s="266">
        <f>IFERROR( VLOOKUP(A285,Descargas!$B$3:$I$94,3,FALSE),0)</f>
        <v>0</v>
      </c>
      <c r="I285" s="266">
        <f>IFERROR( VLOOKUP(A285,Descargas!$B$3:$I$94,4,FALSE),0)</f>
        <v>0</v>
      </c>
      <c r="J285" s="266">
        <f>IFERROR( VLOOKUP(A285,Descargas!$B$3:$I$94,5,FALSE),0)</f>
        <v>0</v>
      </c>
      <c r="K285" s="266">
        <f>IFERROR( VLOOKUP(A285,Descargas!$B$3:$I$94,6,FALSE),0)</f>
        <v>0</v>
      </c>
      <c r="L285" s="266">
        <f>IFERROR( VLOOKUP(A285,Descargas!$B$3:$I$94,7,FALSE),0)</f>
        <v>0</v>
      </c>
      <c r="AB285" s="123">
        <f t="shared" si="15"/>
        <v>0</v>
      </c>
      <c r="AC285" s="123">
        <f t="shared" si="15"/>
        <v>0</v>
      </c>
      <c r="AD285" s="123">
        <f t="shared" si="15"/>
        <v>0</v>
      </c>
      <c r="AE285" s="123">
        <f t="shared" si="15"/>
        <v>0</v>
      </c>
      <c r="AF285" s="123">
        <f t="shared" si="15"/>
        <v>0</v>
      </c>
      <c r="AG285" s="123">
        <f t="shared" si="15"/>
        <v>0</v>
      </c>
      <c r="AH285" s="122">
        <f t="shared" si="16"/>
        <v>0</v>
      </c>
    </row>
    <row r="286" spans="1:34" s="85" customFormat="1" ht="15.75">
      <c r="A286" s="125">
        <v>6</v>
      </c>
      <c r="B286" s="286">
        <f>IFERROR(VLOOKUP(A286,Cargas!$B$3:$I$93,9,FALSE),0)</f>
        <v>0</v>
      </c>
      <c r="C286" s="127">
        <v>6</v>
      </c>
      <c r="D286" s="271">
        <f t="shared" ref="D286:D292" si="28">+SUM(H286:L286)</f>
        <v>0</v>
      </c>
      <c r="E286" s="268">
        <f t="shared" si="27"/>
        <v>0</v>
      </c>
      <c r="F286" s="266"/>
      <c r="G286" s="266"/>
      <c r="H286" s="266">
        <f>IFERROR( VLOOKUP(A286,Descargas!$B$3:$I$94,3,FALSE),0)</f>
        <v>0</v>
      </c>
      <c r="I286" s="266">
        <f>IFERROR( VLOOKUP(A286,Descargas!$B$3:$I$94,4,FALSE),0)</f>
        <v>0</v>
      </c>
      <c r="J286" s="266">
        <f>IFERROR( VLOOKUP(A286,Descargas!$B$3:$I$94,5,FALSE),0)</f>
        <v>0</v>
      </c>
      <c r="K286" s="266">
        <f>IFERROR( VLOOKUP(A286,Descargas!$B$3:$I$94,6,FALSE),0)</f>
        <v>0</v>
      </c>
      <c r="L286" s="266">
        <f>IFERROR( VLOOKUP(A286,Descargas!$B$3:$I$94,7,FALSE),0)</f>
        <v>0</v>
      </c>
      <c r="AB286" s="123">
        <f t="shared" ref="AB286:AG328" si="29">+G286/G$9</f>
        <v>0</v>
      </c>
      <c r="AC286" s="123">
        <f t="shared" si="29"/>
        <v>0</v>
      </c>
      <c r="AD286" s="123">
        <f t="shared" si="29"/>
        <v>0</v>
      </c>
      <c r="AE286" s="123">
        <f t="shared" si="29"/>
        <v>0</v>
      </c>
      <c r="AF286" s="123">
        <f t="shared" si="29"/>
        <v>0</v>
      </c>
      <c r="AG286" s="123">
        <f t="shared" si="29"/>
        <v>0</v>
      </c>
      <c r="AH286" s="122">
        <f t="shared" si="16"/>
        <v>0</v>
      </c>
    </row>
    <row r="287" spans="1:34" ht="15.75">
      <c r="A287" s="125">
        <v>7</v>
      </c>
      <c r="B287" s="286">
        <f>IFERROR(VLOOKUP(A287,Cargas!$B$3:$I$93,9,FALSE),0)</f>
        <v>0</v>
      </c>
      <c r="C287" s="127" t="s">
        <v>14</v>
      </c>
      <c r="D287" s="271">
        <f t="shared" si="28"/>
        <v>0</v>
      </c>
      <c r="E287" s="268">
        <f t="shared" si="27"/>
        <v>0</v>
      </c>
      <c r="F287" s="266"/>
      <c r="G287" s="266"/>
      <c r="H287" s="266">
        <f>IFERROR( VLOOKUP(A287,Descargas!$B$3:$I$94,3,FALSE),0)</f>
        <v>0</v>
      </c>
      <c r="I287" s="266">
        <f>IFERROR( VLOOKUP(A287,Descargas!$B$3:$I$94,4,FALSE),0)</f>
        <v>0</v>
      </c>
      <c r="J287" s="266">
        <f>IFERROR( VLOOKUP(A287,Descargas!$B$3:$I$94,5,FALSE),0)</f>
        <v>0</v>
      </c>
      <c r="K287" s="266">
        <f>IFERROR( VLOOKUP(A287,Descargas!$B$3:$I$94,6,FALSE),0)</f>
        <v>0</v>
      </c>
      <c r="L287" s="266">
        <f>IFERROR( VLOOKUP(A287,Descargas!$B$3:$I$94,7,FALSE),0)</f>
        <v>0</v>
      </c>
      <c r="AB287" s="123">
        <f t="shared" si="29"/>
        <v>0</v>
      </c>
      <c r="AC287" s="123">
        <f t="shared" si="29"/>
        <v>0</v>
      </c>
      <c r="AD287" s="123">
        <f t="shared" si="29"/>
        <v>0</v>
      </c>
      <c r="AE287" s="123">
        <f t="shared" si="29"/>
        <v>0</v>
      </c>
      <c r="AF287" s="123">
        <f t="shared" si="29"/>
        <v>0</v>
      </c>
      <c r="AG287" s="123">
        <f t="shared" si="29"/>
        <v>0</v>
      </c>
      <c r="AH287" s="122">
        <f t="shared" si="16"/>
        <v>0</v>
      </c>
    </row>
    <row r="288" spans="1:34" s="86" customFormat="1" ht="15.75">
      <c r="A288" s="125">
        <v>8</v>
      </c>
      <c r="B288" s="286">
        <f>IFERROR(VLOOKUP(A288,Cargas!$B$3:$I$93,9,FALSE),0)</f>
        <v>0</v>
      </c>
      <c r="C288" s="127" t="s">
        <v>15</v>
      </c>
      <c r="D288" s="271">
        <f t="shared" si="28"/>
        <v>0</v>
      </c>
      <c r="E288" s="268">
        <f t="shared" si="27"/>
        <v>0</v>
      </c>
      <c r="F288" s="266"/>
      <c r="G288" s="266"/>
      <c r="H288" s="266">
        <f>IFERROR( VLOOKUP(A288,Descargas!$B$3:$I$94,3,FALSE),0)</f>
        <v>0</v>
      </c>
      <c r="I288" s="266">
        <f>IFERROR( VLOOKUP(A288,Descargas!$B$3:$I$94,4,FALSE),0)</f>
        <v>0</v>
      </c>
      <c r="J288" s="266">
        <f>IFERROR( VLOOKUP(A288,Descargas!$B$3:$I$94,5,FALSE),0)</f>
        <v>0</v>
      </c>
      <c r="K288" s="266">
        <f>IFERROR( VLOOKUP(A288,Descargas!$B$3:$I$94,6,FALSE),0)</f>
        <v>0</v>
      </c>
      <c r="L288" s="266">
        <f>IFERROR( VLOOKUP(A288,Descargas!$B$3:$I$94,7,FALSE),0)</f>
        <v>0</v>
      </c>
      <c r="AB288" s="123">
        <f t="shared" si="29"/>
        <v>0</v>
      </c>
      <c r="AC288" s="123">
        <f t="shared" si="29"/>
        <v>0</v>
      </c>
      <c r="AD288" s="123">
        <f t="shared" si="29"/>
        <v>0</v>
      </c>
      <c r="AE288" s="123">
        <f t="shared" si="29"/>
        <v>0</v>
      </c>
      <c r="AF288" s="123">
        <f t="shared" si="29"/>
        <v>0</v>
      </c>
      <c r="AG288" s="123">
        <f t="shared" si="29"/>
        <v>0</v>
      </c>
      <c r="AH288" s="122">
        <f t="shared" si="16"/>
        <v>0</v>
      </c>
    </row>
    <row r="289" spans="1:34" s="86" customFormat="1" ht="15.75">
      <c r="A289" s="125">
        <v>9</v>
      </c>
      <c r="B289" s="286">
        <f>IFERROR(VLOOKUP(A289,Cargas!$B$3:$I$93,9,FALSE),0)</f>
        <v>0</v>
      </c>
      <c r="C289" s="127" t="s">
        <v>16</v>
      </c>
      <c r="D289" s="271">
        <f t="shared" si="28"/>
        <v>0</v>
      </c>
      <c r="E289" s="268">
        <f t="shared" si="27"/>
        <v>0</v>
      </c>
      <c r="F289" s="266"/>
      <c r="G289" s="266"/>
      <c r="H289" s="266">
        <f>IFERROR( VLOOKUP(A289,Descargas!$B$3:$I$94,3,FALSE),0)</f>
        <v>0</v>
      </c>
      <c r="I289" s="266">
        <f>IFERROR( VLOOKUP(A289,Descargas!$B$3:$I$94,4,FALSE),0)</f>
        <v>0</v>
      </c>
      <c r="J289" s="266">
        <f>IFERROR( VLOOKUP(A289,Descargas!$B$3:$I$94,5,FALSE),0)</f>
        <v>0</v>
      </c>
      <c r="K289" s="266">
        <f>IFERROR( VLOOKUP(A289,Descargas!$B$3:$I$94,6,FALSE),0)</f>
        <v>0</v>
      </c>
      <c r="L289" s="266">
        <f>IFERROR( VLOOKUP(A289,Descargas!$B$3:$I$94,7,FALSE),0)</f>
        <v>0</v>
      </c>
      <c r="AB289" s="123">
        <f t="shared" si="29"/>
        <v>0</v>
      </c>
      <c r="AC289" s="123">
        <f t="shared" si="29"/>
        <v>0</v>
      </c>
      <c r="AD289" s="123">
        <f t="shared" si="29"/>
        <v>0</v>
      </c>
      <c r="AE289" s="123">
        <f t="shared" si="29"/>
        <v>0</v>
      </c>
      <c r="AF289" s="123">
        <f t="shared" si="29"/>
        <v>0</v>
      </c>
      <c r="AG289" s="123">
        <f t="shared" si="29"/>
        <v>0</v>
      </c>
      <c r="AH289" s="122">
        <f t="shared" si="16"/>
        <v>0</v>
      </c>
    </row>
    <row r="290" spans="1:34" ht="15.75">
      <c r="A290" s="125">
        <v>10</v>
      </c>
      <c r="B290" s="286">
        <f>IFERROR(VLOOKUP(A290,Cargas!$B$3:$I$93,9,FALSE),0)</f>
        <v>0</v>
      </c>
      <c r="C290" s="127" t="s">
        <v>17</v>
      </c>
      <c r="D290" s="271">
        <f t="shared" si="28"/>
        <v>0</v>
      </c>
      <c r="E290" s="268">
        <f t="shared" si="27"/>
        <v>0</v>
      </c>
      <c r="F290" s="266"/>
      <c r="G290" s="266"/>
      <c r="H290" s="266">
        <f>IFERROR( VLOOKUP(A290,Descargas!$B$3:$I$94,3,FALSE),0)</f>
        <v>0</v>
      </c>
      <c r="I290" s="266">
        <f>IFERROR( VLOOKUP(A290,Descargas!$B$3:$I$94,4,FALSE),0)</f>
        <v>0</v>
      </c>
      <c r="J290" s="266">
        <f>IFERROR( VLOOKUP(A290,Descargas!$B$3:$I$94,5,FALSE),0)</f>
        <v>0</v>
      </c>
      <c r="K290" s="266">
        <f>IFERROR( VLOOKUP(A290,Descargas!$B$3:$I$94,6,FALSE),0)</f>
        <v>0</v>
      </c>
      <c r="L290" s="266">
        <f>IFERROR( VLOOKUP(A290,Descargas!$B$3:$I$94,7,FALSE),0)</f>
        <v>0</v>
      </c>
      <c r="AB290" s="123">
        <f t="shared" si="29"/>
        <v>0</v>
      </c>
      <c r="AC290" s="123">
        <f t="shared" si="29"/>
        <v>0</v>
      </c>
      <c r="AD290" s="123">
        <f t="shared" si="29"/>
        <v>0</v>
      </c>
      <c r="AE290" s="123">
        <f t="shared" si="29"/>
        <v>0</v>
      </c>
      <c r="AF290" s="123">
        <f t="shared" si="29"/>
        <v>0</v>
      </c>
      <c r="AG290" s="123">
        <f t="shared" si="29"/>
        <v>0</v>
      </c>
      <c r="AH290" s="122">
        <f t="shared" si="16"/>
        <v>0</v>
      </c>
    </row>
    <row r="291" spans="1:34" s="86" customFormat="1" ht="15.75">
      <c r="A291" s="125">
        <v>11</v>
      </c>
      <c r="B291" s="286">
        <f>IFERROR(VLOOKUP(A291,Cargas!$B$3:$I$93,9,FALSE),0)</f>
        <v>0</v>
      </c>
      <c r="C291" s="127" t="s">
        <v>18</v>
      </c>
      <c r="D291" s="271">
        <f t="shared" si="28"/>
        <v>0</v>
      </c>
      <c r="E291" s="268">
        <f t="shared" si="27"/>
        <v>0</v>
      </c>
      <c r="F291" s="266"/>
      <c r="G291" s="266"/>
      <c r="H291" s="266">
        <f>IFERROR( VLOOKUP(A291,Descargas!$B$3:$I$94,3,FALSE),0)</f>
        <v>0</v>
      </c>
      <c r="I291" s="266">
        <f>IFERROR( VLOOKUP(A291,Descargas!$B$3:$I$94,4,FALSE),0)</f>
        <v>0</v>
      </c>
      <c r="J291" s="266">
        <f>IFERROR( VLOOKUP(A291,Descargas!$B$3:$I$94,5,FALSE),0)</f>
        <v>0</v>
      </c>
      <c r="K291" s="266">
        <f>IFERROR( VLOOKUP(A291,Descargas!$B$3:$I$94,6,FALSE),0)</f>
        <v>0</v>
      </c>
      <c r="L291" s="266">
        <f>IFERROR( VLOOKUP(A291,Descargas!$B$3:$I$94,7,FALSE),0)</f>
        <v>0</v>
      </c>
      <c r="AB291" s="123">
        <f t="shared" si="29"/>
        <v>0</v>
      </c>
      <c r="AC291" s="123">
        <f t="shared" si="29"/>
        <v>0</v>
      </c>
      <c r="AD291" s="123">
        <f t="shared" si="29"/>
        <v>0</v>
      </c>
      <c r="AE291" s="123">
        <f t="shared" si="29"/>
        <v>0</v>
      </c>
      <c r="AF291" s="123">
        <f t="shared" si="29"/>
        <v>0</v>
      </c>
      <c r="AG291" s="123">
        <f t="shared" si="29"/>
        <v>0</v>
      </c>
      <c r="AH291" s="122">
        <f t="shared" si="16"/>
        <v>0</v>
      </c>
    </row>
    <row r="292" spans="1:34" s="86" customFormat="1" ht="15.75">
      <c r="A292" s="125">
        <v>12</v>
      </c>
      <c r="B292" s="286">
        <f>IFERROR(VLOOKUP(A292,Cargas!$B$3:$I$93,9,FALSE),0)</f>
        <v>0</v>
      </c>
      <c r="C292" s="127" t="s">
        <v>156</v>
      </c>
      <c r="D292" s="271">
        <f t="shared" si="28"/>
        <v>0</v>
      </c>
      <c r="E292" s="268">
        <f t="shared" si="27"/>
        <v>0</v>
      </c>
      <c r="F292" s="266"/>
      <c r="G292" s="266"/>
      <c r="H292" s="266">
        <f>IFERROR( VLOOKUP(A292,Descargas!$B$3:$I$94,3,FALSE),0)</f>
        <v>0</v>
      </c>
      <c r="I292" s="266">
        <f>IFERROR( VLOOKUP(A292,Descargas!$B$3:$I$94,4,FALSE),0)</f>
        <v>0</v>
      </c>
      <c r="J292" s="266">
        <f>IFERROR( VLOOKUP(A292,Descargas!$B$3:$I$94,5,FALSE),0)</f>
        <v>0</v>
      </c>
      <c r="K292" s="266">
        <f>IFERROR( VLOOKUP(A292,Descargas!$B$3:$I$94,6,FALSE),0)</f>
        <v>0</v>
      </c>
      <c r="L292" s="266">
        <f>IFERROR( VLOOKUP(A292,Descargas!$B$3:$I$94,7,FALSE),0)</f>
        <v>0</v>
      </c>
      <c r="AB292" s="123">
        <f t="shared" si="29"/>
        <v>0</v>
      </c>
      <c r="AC292" s="123">
        <f t="shared" si="29"/>
        <v>0</v>
      </c>
      <c r="AD292" s="123">
        <f t="shared" si="29"/>
        <v>0</v>
      </c>
      <c r="AE292" s="123">
        <f t="shared" si="29"/>
        <v>0</v>
      </c>
      <c r="AF292" s="123">
        <f t="shared" si="29"/>
        <v>0</v>
      </c>
      <c r="AG292" s="123">
        <f t="shared" si="29"/>
        <v>0</v>
      </c>
      <c r="AH292" s="122">
        <f t="shared" si="16"/>
        <v>0</v>
      </c>
    </row>
    <row r="293" spans="1:34" s="86" customFormat="1" ht="15.75">
      <c r="A293" s="125">
        <v>13</v>
      </c>
      <c r="B293" s="286">
        <f>IFERROR(VLOOKUP(A293,Cargas!$B$3:$I$93,9,FALSE),0)</f>
        <v>0</v>
      </c>
      <c r="C293" s="127" t="s">
        <v>157</v>
      </c>
      <c r="D293" s="271">
        <f>+SUM(G293:L293)</f>
        <v>0</v>
      </c>
      <c r="E293" s="268">
        <f t="shared" si="27"/>
        <v>0</v>
      </c>
      <c r="F293" s="266"/>
      <c r="G293" s="266"/>
      <c r="H293" s="266">
        <f>IFERROR( VLOOKUP(A293,Descargas!$B$3:$I$94,3,FALSE),0)</f>
        <v>0</v>
      </c>
      <c r="I293" s="266">
        <f>IFERROR( VLOOKUP(A293,Descargas!$B$3:$I$94,4,FALSE),0)</f>
        <v>0</v>
      </c>
      <c r="J293" s="266">
        <f>IFERROR( VLOOKUP(A293,Descargas!$B$3:$I$94,5,FALSE),0)</f>
        <v>0</v>
      </c>
      <c r="K293" s="266">
        <f>IFERROR( VLOOKUP(A293,Descargas!$B$3:$I$94,6,FALSE),0)</f>
        <v>0</v>
      </c>
      <c r="L293" s="266">
        <f>IFERROR( VLOOKUP(A293,Descargas!$B$3:$I$94,7,FALSE),0)</f>
        <v>0</v>
      </c>
      <c r="AB293" s="123">
        <f t="shared" si="29"/>
        <v>0</v>
      </c>
      <c r="AC293" s="123">
        <f t="shared" si="29"/>
        <v>0</v>
      </c>
      <c r="AD293" s="123">
        <f t="shared" si="29"/>
        <v>0</v>
      </c>
      <c r="AE293" s="123">
        <f t="shared" si="29"/>
        <v>0</v>
      </c>
      <c r="AF293" s="123">
        <f t="shared" si="29"/>
        <v>0</v>
      </c>
      <c r="AG293" s="123">
        <f t="shared" si="29"/>
        <v>0</v>
      </c>
      <c r="AH293" s="122">
        <f t="shared" si="16"/>
        <v>0</v>
      </c>
    </row>
    <row r="294" spans="1:34" ht="15.75">
      <c r="A294" s="125">
        <v>14</v>
      </c>
      <c r="B294" s="286">
        <f>IFERROR(VLOOKUP(A294,Cargas!$B$3:$I$93,9,FALSE),0)</f>
        <v>0</v>
      </c>
      <c r="C294" s="127" t="s">
        <v>241</v>
      </c>
      <c r="D294" s="271">
        <f t="shared" ref="D294:D327" si="30">+SUM(H294:L294)</f>
        <v>0</v>
      </c>
      <c r="E294" s="268">
        <f t="shared" si="27"/>
        <v>0</v>
      </c>
      <c r="F294" s="266"/>
      <c r="G294" s="266"/>
      <c r="H294" s="266">
        <f>IFERROR( VLOOKUP(A294,Descargas!$B$3:$I$94,3,FALSE),0)</f>
        <v>0</v>
      </c>
      <c r="I294" s="266">
        <f>IFERROR( VLOOKUP(A294,Descargas!$B$3:$I$94,4,FALSE),0)</f>
        <v>0</v>
      </c>
      <c r="J294" s="266">
        <f>IFERROR( VLOOKUP(A294,Descargas!$B$3:$I$94,5,FALSE),0)</f>
        <v>0</v>
      </c>
      <c r="K294" s="266">
        <f>IFERROR( VLOOKUP(A294,Descargas!$B$3:$I$94,6,FALSE),0)</f>
        <v>0</v>
      </c>
      <c r="L294" s="266">
        <f>IFERROR( VLOOKUP(A294,Descargas!$B$3:$I$94,7,FALSE),0)</f>
        <v>0</v>
      </c>
      <c r="AB294" s="123">
        <f t="shared" si="29"/>
        <v>0</v>
      </c>
      <c r="AC294" s="123">
        <f t="shared" si="29"/>
        <v>0</v>
      </c>
      <c r="AD294" s="123">
        <f t="shared" si="29"/>
        <v>0</v>
      </c>
      <c r="AE294" s="123">
        <f t="shared" si="29"/>
        <v>0</v>
      </c>
      <c r="AF294" s="123">
        <f t="shared" si="29"/>
        <v>0</v>
      </c>
      <c r="AG294" s="123">
        <f t="shared" si="29"/>
        <v>0</v>
      </c>
      <c r="AH294" s="122">
        <f t="shared" si="16"/>
        <v>0</v>
      </c>
    </row>
    <row r="295" spans="1:34" s="86" customFormat="1" ht="15.75">
      <c r="A295" s="125">
        <v>15</v>
      </c>
      <c r="B295" s="286">
        <f>IFERROR(VLOOKUP(A295,Cargas!$B$3:$I$93,9,FALSE),0)</f>
        <v>0</v>
      </c>
      <c r="C295" s="127" t="s">
        <v>158</v>
      </c>
      <c r="D295" s="271">
        <f t="shared" si="30"/>
        <v>0</v>
      </c>
      <c r="E295" s="268">
        <f t="shared" si="27"/>
        <v>0</v>
      </c>
      <c r="F295" s="266"/>
      <c r="G295" s="266"/>
      <c r="H295" s="266">
        <f>IFERROR( VLOOKUP(A295,Descargas!$B$3:$I$94,3,FALSE),0)</f>
        <v>0</v>
      </c>
      <c r="I295" s="266">
        <f>IFERROR( VLOOKUP(A295,Descargas!$B$3:$I$94,4,FALSE),0)</f>
        <v>0</v>
      </c>
      <c r="J295" s="266">
        <f>IFERROR( VLOOKUP(A295,Descargas!$B$3:$I$94,5,FALSE),0)</f>
        <v>0</v>
      </c>
      <c r="K295" s="266">
        <f>IFERROR( VLOOKUP(A295,Descargas!$B$3:$I$94,6,FALSE),0)</f>
        <v>0</v>
      </c>
      <c r="L295" s="266">
        <f>IFERROR( VLOOKUP(A295,Descargas!$B$3:$I$94,7,FALSE),0)</f>
        <v>0</v>
      </c>
      <c r="AB295" s="123">
        <f t="shared" si="29"/>
        <v>0</v>
      </c>
      <c r="AC295" s="123">
        <f t="shared" si="29"/>
        <v>0</v>
      </c>
      <c r="AD295" s="123">
        <f t="shared" si="29"/>
        <v>0</v>
      </c>
      <c r="AE295" s="123">
        <f t="shared" si="29"/>
        <v>0</v>
      </c>
      <c r="AF295" s="123">
        <f t="shared" si="29"/>
        <v>0</v>
      </c>
      <c r="AG295" s="123">
        <f t="shared" si="29"/>
        <v>0</v>
      </c>
      <c r="AH295" s="122">
        <f t="shared" si="16"/>
        <v>0</v>
      </c>
    </row>
    <row r="296" spans="1:34" s="86" customFormat="1" ht="15.75">
      <c r="A296" s="125">
        <v>16</v>
      </c>
      <c r="B296" s="286">
        <f>IFERROR(VLOOKUP(A296,Cargas!$B$3:$I$93,9,FALSE),0)</f>
        <v>0</v>
      </c>
      <c r="C296" s="127" t="s">
        <v>107</v>
      </c>
      <c r="D296" s="271">
        <f t="shared" si="30"/>
        <v>0</v>
      </c>
      <c r="E296" s="268">
        <f t="shared" si="27"/>
        <v>0</v>
      </c>
      <c r="F296" s="266"/>
      <c r="G296" s="266"/>
      <c r="H296" s="266">
        <f>IFERROR( VLOOKUP(A296,Descargas!$B$3:$I$94,3,FALSE),0)</f>
        <v>0</v>
      </c>
      <c r="I296" s="266">
        <f>IFERROR( VLOOKUP(A296,Descargas!$B$3:$I$94,4,FALSE),0)</f>
        <v>0</v>
      </c>
      <c r="J296" s="266">
        <f>IFERROR( VLOOKUP(A296,Descargas!$B$3:$I$94,5,FALSE),0)</f>
        <v>0</v>
      </c>
      <c r="K296" s="266">
        <f>IFERROR( VLOOKUP(A296,Descargas!$B$3:$I$94,6,FALSE),0)</f>
        <v>0</v>
      </c>
      <c r="L296" s="266">
        <f>IFERROR( VLOOKUP(A296,Descargas!$B$3:$I$94,7,FALSE),0)</f>
        <v>0</v>
      </c>
      <c r="AB296" s="123">
        <f t="shared" si="29"/>
        <v>0</v>
      </c>
      <c r="AC296" s="123">
        <f t="shared" si="29"/>
        <v>0</v>
      </c>
      <c r="AD296" s="123">
        <f t="shared" si="29"/>
        <v>0</v>
      </c>
      <c r="AE296" s="123">
        <f t="shared" si="29"/>
        <v>0</v>
      </c>
      <c r="AF296" s="123">
        <f t="shared" si="29"/>
        <v>0</v>
      </c>
      <c r="AG296" s="123">
        <f t="shared" si="29"/>
        <v>0</v>
      </c>
      <c r="AH296" s="122">
        <f t="shared" si="16"/>
        <v>0</v>
      </c>
    </row>
    <row r="297" spans="1:34" ht="15.75">
      <c r="A297" s="125">
        <v>17</v>
      </c>
      <c r="B297" s="286">
        <f>IFERROR(VLOOKUP(A297,Cargas!$B$3:$I$93,9,FALSE),0)</f>
        <v>0</v>
      </c>
      <c r="C297" s="127" t="s">
        <v>85</v>
      </c>
      <c r="D297" s="271">
        <f t="shared" si="30"/>
        <v>0</v>
      </c>
      <c r="E297" s="268">
        <f t="shared" si="27"/>
        <v>0</v>
      </c>
      <c r="F297" s="266"/>
      <c r="G297" s="266"/>
      <c r="H297" s="266">
        <f>IFERROR( VLOOKUP(A297,Descargas!$B$3:$I$94,3,FALSE),0)</f>
        <v>0</v>
      </c>
      <c r="I297" s="266">
        <f>IFERROR( VLOOKUP(A297,Descargas!$B$3:$I$94,4,FALSE),0)</f>
        <v>0</v>
      </c>
      <c r="J297" s="266">
        <f>IFERROR( VLOOKUP(A297,Descargas!$B$3:$I$94,5,FALSE),0)</f>
        <v>0</v>
      </c>
      <c r="K297" s="266">
        <f>IFERROR( VLOOKUP(A297,Descargas!$B$3:$I$94,6,FALSE),0)</f>
        <v>0</v>
      </c>
      <c r="L297" s="266">
        <f>IFERROR( VLOOKUP(A297,Descargas!$B$3:$I$94,7,FALSE),0)</f>
        <v>0</v>
      </c>
      <c r="AB297" s="123">
        <f t="shared" si="29"/>
        <v>0</v>
      </c>
      <c r="AC297" s="123">
        <f t="shared" si="29"/>
        <v>0</v>
      </c>
      <c r="AD297" s="123">
        <f t="shared" si="29"/>
        <v>0</v>
      </c>
      <c r="AE297" s="123">
        <f t="shared" si="29"/>
        <v>0</v>
      </c>
      <c r="AF297" s="123">
        <f t="shared" si="29"/>
        <v>0</v>
      </c>
      <c r="AG297" s="123">
        <f t="shared" si="29"/>
        <v>0</v>
      </c>
      <c r="AH297" s="122">
        <f t="shared" si="16"/>
        <v>0</v>
      </c>
    </row>
    <row r="298" spans="1:34" s="86" customFormat="1" ht="15.75">
      <c r="A298" s="125">
        <v>18</v>
      </c>
      <c r="B298" s="286">
        <f>IFERROR(VLOOKUP(A298,Cargas!$B$3:$I$93,9,FALSE),0)</f>
        <v>0</v>
      </c>
      <c r="C298" s="127" t="s">
        <v>224</v>
      </c>
      <c r="D298" s="271">
        <f t="shared" si="30"/>
        <v>0</v>
      </c>
      <c r="E298" s="268">
        <f t="shared" si="27"/>
        <v>0</v>
      </c>
      <c r="F298" s="266"/>
      <c r="G298" s="266"/>
      <c r="H298" s="266">
        <f>IFERROR( VLOOKUP(A298,Descargas!$B$3:$I$94,3,FALSE),0)</f>
        <v>0</v>
      </c>
      <c r="I298" s="266">
        <f>IFERROR( VLOOKUP(A298,Descargas!$B$3:$I$94,4,FALSE),0)</f>
        <v>0</v>
      </c>
      <c r="J298" s="266">
        <f>IFERROR( VLOOKUP(A298,Descargas!$B$3:$I$94,5,FALSE),0)</f>
        <v>0</v>
      </c>
      <c r="K298" s="266">
        <f>IFERROR( VLOOKUP(A298,Descargas!$B$3:$I$94,6,FALSE),0)</f>
        <v>0</v>
      </c>
      <c r="L298" s="266">
        <f>IFERROR( VLOOKUP(A298,Descargas!$B$3:$I$94,7,FALSE),0)</f>
        <v>0</v>
      </c>
      <c r="AB298" s="123">
        <f t="shared" si="29"/>
        <v>0</v>
      </c>
      <c r="AC298" s="123">
        <f t="shared" si="29"/>
        <v>0</v>
      </c>
      <c r="AD298" s="123">
        <f t="shared" si="29"/>
        <v>0</v>
      </c>
      <c r="AE298" s="123">
        <f t="shared" si="29"/>
        <v>0</v>
      </c>
      <c r="AF298" s="123">
        <f t="shared" si="29"/>
        <v>0</v>
      </c>
      <c r="AG298" s="123">
        <f t="shared" si="29"/>
        <v>0</v>
      </c>
      <c r="AH298" s="122">
        <f t="shared" si="16"/>
        <v>0</v>
      </c>
    </row>
    <row r="299" spans="1:34" s="86" customFormat="1" ht="15.75">
      <c r="A299" s="125">
        <v>21</v>
      </c>
      <c r="B299" s="286">
        <f>IFERROR(VLOOKUP(A299,Cargas!$B$3:$I$93,9,FALSE),0)</f>
        <v>0</v>
      </c>
      <c r="C299" s="127" t="s">
        <v>252</v>
      </c>
      <c r="D299" s="271">
        <f t="shared" si="30"/>
        <v>0</v>
      </c>
      <c r="E299" s="268">
        <f t="shared" si="27"/>
        <v>0</v>
      </c>
      <c r="F299" s="266"/>
      <c r="G299" s="266"/>
      <c r="H299" s="266">
        <f>IFERROR( VLOOKUP(A299,Descargas!$B$3:$I$94,3,FALSE),0)</f>
        <v>0</v>
      </c>
      <c r="I299" s="266">
        <f>IFERROR( VLOOKUP(A299,Descargas!$B$3:$I$94,4,FALSE),0)</f>
        <v>0</v>
      </c>
      <c r="J299" s="266">
        <f>IFERROR( VLOOKUP(A299,Descargas!$B$3:$I$94,5,FALSE),0)</f>
        <v>0</v>
      </c>
      <c r="K299" s="266">
        <f>IFERROR( VLOOKUP(A299,Descargas!$B$3:$I$94,6,FALSE),0)</f>
        <v>0</v>
      </c>
      <c r="L299" s="266">
        <f>IFERROR( VLOOKUP(A299,Descargas!$B$3:$I$94,7,FALSE),0)</f>
        <v>0</v>
      </c>
      <c r="AB299" s="123">
        <f t="shared" si="29"/>
        <v>0</v>
      </c>
      <c r="AC299" s="123">
        <f t="shared" si="29"/>
        <v>0</v>
      </c>
      <c r="AD299" s="123">
        <f t="shared" si="29"/>
        <v>0</v>
      </c>
      <c r="AE299" s="123">
        <f t="shared" si="29"/>
        <v>0</v>
      </c>
      <c r="AF299" s="123">
        <f t="shared" si="29"/>
        <v>0</v>
      </c>
      <c r="AG299" s="123">
        <f t="shared" si="29"/>
        <v>0</v>
      </c>
      <c r="AH299" s="122">
        <f t="shared" si="16"/>
        <v>0</v>
      </c>
    </row>
    <row r="300" spans="1:34" ht="15.75">
      <c r="A300" s="125">
        <v>22</v>
      </c>
      <c r="B300" s="286">
        <f>IFERROR(VLOOKUP(A300,Cargas!$B$3:$I$93,9,FALSE),0)</f>
        <v>0</v>
      </c>
      <c r="C300" s="127" t="s">
        <v>251</v>
      </c>
      <c r="D300" s="271">
        <f t="shared" si="30"/>
        <v>0</v>
      </c>
      <c r="E300" s="268">
        <f t="shared" si="27"/>
        <v>0</v>
      </c>
      <c r="F300" s="266"/>
      <c r="G300" s="266"/>
      <c r="H300" s="266">
        <f>IFERROR( VLOOKUP(A300,Descargas!$B$3:$I$94,3,FALSE),0)</f>
        <v>0</v>
      </c>
      <c r="I300" s="266">
        <f>IFERROR( VLOOKUP(A300,Descargas!$B$3:$I$94,4,FALSE),0)</f>
        <v>0</v>
      </c>
      <c r="J300" s="266">
        <f>IFERROR( VLOOKUP(A300,Descargas!$B$3:$I$94,5,FALSE),0)</f>
        <v>0</v>
      </c>
      <c r="K300" s="266">
        <f>IFERROR( VLOOKUP(A300,Descargas!$B$3:$I$94,6,FALSE),0)</f>
        <v>0</v>
      </c>
      <c r="L300" s="266">
        <f>IFERROR( VLOOKUP(A300,Descargas!$B$3:$I$94,7,FALSE),0)</f>
        <v>0</v>
      </c>
      <c r="AB300" s="123">
        <f t="shared" si="29"/>
        <v>0</v>
      </c>
      <c r="AC300" s="123">
        <f t="shared" si="29"/>
        <v>0</v>
      </c>
      <c r="AD300" s="123">
        <f t="shared" si="29"/>
        <v>0</v>
      </c>
      <c r="AE300" s="123">
        <f t="shared" si="29"/>
        <v>0</v>
      </c>
      <c r="AF300" s="123">
        <f t="shared" si="29"/>
        <v>0</v>
      </c>
      <c r="AG300" s="123">
        <f t="shared" si="29"/>
        <v>0</v>
      </c>
      <c r="AH300" s="122">
        <f t="shared" si="16"/>
        <v>0</v>
      </c>
    </row>
    <row r="301" spans="1:34" s="86" customFormat="1" ht="15.75">
      <c r="A301" s="125">
        <v>23</v>
      </c>
      <c r="B301" s="286">
        <f>IFERROR(VLOOKUP(A301,Cargas!$B$3:$I$93,9,FALSE),0)</f>
        <v>0</v>
      </c>
      <c r="C301" s="127" t="s">
        <v>19</v>
      </c>
      <c r="D301" s="271">
        <f t="shared" si="30"/>
        <v>0</v>
      </c>
      <c r="E301" s="268">
        <f t="shared" si="27"/>
        <v>0</v>
      </c>
      <c r="F301" s="266"/>
      <c r="G301" s="266"/>
      <c r="H301" s="266">
        <f>IFERROR( VLOOKUP(A301,Descargas!$B$3:$I$94,3,FALSE),0)</f>
        <v>0</v>
      </c>
      <c r="I301" s="266">
        <f>IFERROR( VLOOKUP(A301,Descargas!$B$3:$I$94,4,FALSE),0)</f>
        <v>0</v>
      </c>
      <c r="J301" s="266">
        <f>IFERROR( VLOOKUP(A301,Descargas!$B$3:$I$94,5,FALSE),0)</f>
        <v>0</v>
      </c>
      <c r="K301" s="266">
        <f>IFERROR( VLOOKUP(A301,Descargas!$B$3:$I$94,6,FALSE),0)</f>
        <v>0</v>
      </c>
      <c r="L301" s="266">
        <f>IFERROR( VLOOKUP(A301,Descargas!$B$3:$I$94,7,FALSE),0)</f>
        <v>0</v>
      </c>
      <c r="AB301" s="123">
        <f t="shared" si="29"/>
        <v>0</v>
      </c>
      <c r="AC301" s="123">
        <f t="shared" si="29"/>
        <v>0</v>
      </c>
      <c r="AD301" s="123">
        <f t="shared" si="29"/>
        <v>0</v>
      </c>
      <c r="AE301" s="123">
        <f t="shared" si="29"/>
        <v>0</v>
      </c>
      <c r="AF301" s="123">
        <f t="shared" si="29"/>
        <v>0</v>
      </c>
      <c r="AG301" s="123">
        <f t="shared" si="29"/>
        <v>0</v>
      </c>
      <c r="AH301" s="122">
        <f t="shared" si="16"/>
        <v>0</v>
      </c>
    </row>
    <row r="302" spans="1:34" ht="15.75">
      <c r="A302" s="125">
        <v>24</v>
      </c>
      <c r="B302" s="286">
        <f>IFERROR(VLOOKUP(A302,Cargas!$B$3:$I$93,9,FALSE),0)</f>
        <v>0</v>
      </c>
      <c r="C302" s="127" t="s">
        <v>20</v>
      </c>
      <c r="D302" s="271">
        <f t="shared" si="30"/>
        <v>0</v>
      </c>
      <c r="E302" s="268">
        <f t="shared" si="27"/>
        <v>0</v>
      </c>
      <c r="F302" s="266"/>
      <c r="G302" s="266"/>
      <c r="H302" s="266">
        <f>IFERROR( VLOOKUP(A302,Descargas!$B$3:$I$94,3,FALSE),0)</f>
        <v>0</v>
      </c>
      <c r="I302" s="266">
        <f>IFERROR( VLOOKUP(A302,Descargas!$B$3:$I$94,4,FALSE),0)</f>
        <v>0</v>
      </c>
      <c r="J302" s="266">
        <f>IFERROR( VLOOKUP(A302,Descargas!$B$3:$I$94,5,FALSE),0)</f>
        <v>0</v>
      </c>
      <c r="K302" s="266">
        <f>IFERROR( VLOOKUP(A302,Descargas!$B$3:$I$94,6,FALSE),0)</f>
        <v>0</v>
      </c>
      <c r="L302" s="266">
        <f>IFERROR( VLOOKUP(A302,Descargas!$B$3:$I$94,7,FALSE),0)</f>
        <v>0</v>
      </c>
      <c r="AB302" s="123">
        <f t="shared" si="29"/>
        <v>0</v>
      </c>
      <c r="AC302" s="123">
        <f t="shared" si="29"/>
        <v>0</v>
      </c>
      <c r="AD302" s="123">
        <f t="shared" si="29"/>
        <v>0</v>
      </c>
      <c r="AE302" s="123">
        <f t="shared" si="29"/>
        <v>0</v>
      </c>
      <c r="AF302" s="123">
        <f t="shared" si="29"/>
        <v>0</v>
      </c>
      <c r="AG302" s="123">
        <f t="shared" si="29"/>
        <v>0</v>
      </c>
      <c r="AH302" s="122">
        <f t="shared" si="16"/>
        <v>0</v>
      </c>
    </row>
    <row r="303" spans="1:34" s="86" customFormat="1" ht="15.75">
      <c r="A303" s="125">
        <v>25</v>
      </c>
      <c r="B303" s="286">
        <f>IFERROR(VLOOKUP(A303,Cargas!$B$3:$I$93,9,FALSE),0)</f>
        <v>0</v>
      </c>
      <c r="C303" s="127" t="s">
        <v>21</v>
      </c>
      <c r="D303" s="271">
        <f t="shared" si="30"/>
        <v>0</v>
      </c>
      <c r="E303" s="268">
        <f t="shared" si="27"/>
        <v>0</v>
      </c>
      <c r="F303" s="266"/>
      <c r="G303" s="266"/>
      <c r="H303" s="266">
        <f>IFERROR( VLOOKUP(A303,Descargas!$B$3:$I$94,3,FALSE),0)</f>
        <v>0</v>
      </c>
      <c r="I303" s="266">
        <f>IFERROR( VLOOKUP(A303,Descargas!$B$3:$I$94,4,FALSE),0)</f>
        <v>0</v>
      </c>
      <c r="J303" s="266">
        <f>IFERROR( VLOOKUP(A303,Descargas!$B$3:$I$94,5,FALSE),0)</f>
        <v>0</v>
      </c>
      <c r="K303" s="266">
        <f>IFERROR( VLOOKUP(A303,Descargas!$B$3:$I$94,6,FALSE),0)</f>
        <v>0</v>
      </c>
      <c r="L303" s="266">
        <f>IFERROR( VLOOKUP(A303,Descargas!$B$3:$I$94,7,FALSE),0)</f>
        <v>0</v>
      </c>
      <c r="AB303" s="123">
        <f t="shared" si="29"/>
        <v>0</v>
      </c>
      <c r="AC303" s="123">
        <f t="shared" si="29"/>
        <v>0</v>
      </c>
      <c r="AD303" s="123">
        <f t="shared" si="29"/>
        <v>0</v>
      </c>
      <c r="AE303" s="123">
        <f t="shared" si="29"/>
        <v>0</v>
      </c>
      <c r="AF303" s="123">
        <f t="shared" si="29"/>
        <v>0</v>
      </c>
      <c r="AG303" s="123">
        <f t="shared" si="29"/>
        <v>0</v>
      </c>
      <c r="AH303" s="122">
        <f t="shared" si="16"/>
        <v>0</v>
      </c>
    </row>
    <row r="304" spans="1:34" s="86" customFormat="1" ht="15.75">
      <c r="A304" s="125">
        <v>26</v>
      </c>
      <c r="B304" s="286">
        <f>IFERROR(VLOOKUP(A304,Cargas!$B$3:$I$93,9,FALSE),0)</f>
        <v>0</v>
      </c>
      <c r="C304" s="127" t="s">
        <v>22</v>
      </c>
      <c r="D304" s="271">
        <f t="shared" si="30"/>
        <v>0</v>
      </c>
      <c r="E304" s="268">
        <f t="shared" si="27"/>
        <v>0</v>
      </c>
      <c r="F304" s="266"/>
      <c r="G304" s="266"/>
      <c r="H304" s="266">
        <f>IFERROR( VLOOKUP(A304,Descargas!$B$3:$I$94,3,FALSE),0)</f>
        <v>0</v>
      </c>
      <c r="I304" s="266">
        <f>IFERROR( VLOOKUP(A304,Descargas!$B$3:$I$94,4,FALSE),0)</f>
        <v>0</v>
      </c>
      <c r="J304" s="266">
        <f>IFERROR( VLOOKUP(A304,Descargas!$B$3:$I$94,5,FALSE),0)</f>
        <v>0</v>
      </c>
      <c r="K304" s="266">
        <f>IFERROR( VLOOKUP(A304,Descargas!$B$3:$I$94,6,FALSE),0)</f>
        <v>0</v>
      </c>
      <c r="L304" s="266">
        <f>IFERROR( VLOOKUP(A304,Descargas!$B$3:$I$94,7,FALSE),0)</f>
        <v>0</v>
      </c>
      <c r="AB304" s="123">
        <f t="shared" si="29"/>
        <v>0</v>
      </c>
      <c r="AC304" s="123">
        <f t="shared" si="29"/>
        <v>0</v>
      </c>
      <c r="AD304" s="123">
        <f t="shared" si="29"/>
        <v>0</v>
      </c>
      <c r="AE304" s="123">
        <f t="shared" si="29"/>
        <v>0</v>
      </c>
      <c r="AF304" s="123">
        <f t="shared" si="29"/>
        <v>0</v>
      </c>
      <c r="AG304" s="123">
        <f t="shared" si="29"/>
        <v>0</v>
      </c>
      <c r="AH304" s="122">
        <f t="shared" si="16"/>
        <v>0</v>
      </c>
    </row>
    <row r="305" spans="1:34" ht="15.75">
      <c r="A305" s="125">
        <v>27</v>
      </c>
      <c r="B305" s="286">
        <f>IFERROR(VLOOKUP(A305,Cargas!$B$3:$I$93,9,FALSE),0)</f>
        <v>0</v>
      </c>
      <c r="C305" s="127" t="s">
        <v>23</v>
      </c>
      <c r="D305" s="271">
        <f t="shared" si="30"/>
        <v>0</v>
      </c>
      <c r="E305" s="268">
        <f t="shared" si="27"/>
        <v>0</v>
      </c>
      <c r="F305" s="266"/>
      <c r="G305" s="266"/>
      <c r="H305" s="266">
        <f>IFERROR( VLOOKUP(A305,Descargas!$B$3:$I$94,3,FALSE),0)</f>
        <v>0</v>
      </c>
      <c r="I305" s="266">
        <f>IFERROR( VLOOKUP(A305,Descargas!$B$3:$I$94,4,FALSE),0)</f>
        <v>0</v>
      </c>
      <c r="J305" s="266">
        <f>IFERROR( VLOOKUP(A305,Descargas!$B$3:$I$94,5,FALSE),0)</f>
        <v>0</v>
      </c>
      <c r="K305" s="266">
        <f>IFERROR( VLOOKUP(A305,Descargas!$B$3:$I$94,6,FALSE),0)</f>
        <v>0</v>
      </c>
      <c r="L305" s="266">
        <f>IFERROR( VLOOKUP(A305,Descargas!$B$3:$I$94,7,FALSE),0)</f>
        <v>0</v>
      </c>
      <c r="AB305" s="123">
        <f t="shared" si="29"/>
        <v>0</v>
      </c>
      <c r="AC305" s="123">
        <f t="shared" si="29"/>
        <v>0</v>
      </c>
      <c r="AD305" s="123">
        <f t="shared" si="29"/>
        <v>0</v>
      </c>
      <c r="AE305" s="123">
        <f t="shared" si="29"/>
        <v>0</v>
      </c>
      <c r="AF305" s="123">
        <f t="shared" si="29"/>
        <v>0</v>
      </c>
      <c r="AG305" s="123">
        <f t="shared" si="29"/>
        <v>0</v>
      </c>
      <c r="AH305" s="122">
        <f t="shared" si="16"/>
        <v>0</v>
      </c>
    </row>
    <row r="306" spans="1:34" s="86" customFormat="1" ht="15.75">
      <c r="A306" s="125">
        <v>28</v>
      </c>
      <c r="B306" s="286">
        <f>IFERROR(VLOOKUP(A306,Cargas!$B$3:$I$93,9,FALSE),0)</f>
        <v>0</v>
      </c>
      <c r="C306" s="126" t="s">
        <v>24</v>
      </c>
      <c r="D306" s="271">
        <f t="shared" si="30"/>
        <v>0</v>
      </c>
      <c r="E306" s="268">
        <f t="shared" si="27"/>
        <v>0</v>
      </c>
      <c r="F306" s="266"/>
      <c r="G306" s="266"/>
      <c r="H306" s="266">
        <f>IFERROR( VLOOKUP(A306,Descargas!$B$3:$I$94,3,FALSE),0)</f>
        <v>0</v>
      </c>
      <c r="I306" s="266">
        <f>IFERROR( VLOOKUP(A306,Descargas!$B$3:$I$94,4,FALSE),0)</f>
        <v>0</v>
      </c>
      <c r="J306" s="266">
        <f>IFERROR( VLOOKUP(A306,Descargas!$B$3:$I$94,5,FALSE),0)</f>
        <v>0</v>
      </c>
      <c r="K306" s="266">
        <f>IFERROR( VLOOKUP(A306,Descargas!$B$3:$I$94,6,FALSE),0)</f>
        <v>0</v>
      </c>
      <c r="L306" s="266">
        <f>IFERROR( VLOOKUP(A306,Descargas!$B$3:$I$94,7,FALSE),0)</f>
        <v>0</v>
      </c>
      <c r="AB306" s="123">
        <f t="shared" si="29"/>
        <v>0</v>
      </c>
      <c r="AC306" s="123">
        <f t="shared" si="29"/>
        <v>0</v>
      </c>
      <c r="AD306" s="123">
        <f t="shared" si="29"/>
        <v>0</v>
      </c>
      <c r="AE306" s="123">
        <f t="shared" si="29"/>
        <v>0</v>
      </c>
      <c r="AF306" s="123">
        <f t="shared" si="29"/>
        <v>0</v>
      </c>
      <c r="AG306" s="123">
        <f t="shared" si="29"/>
        <v>0</v>
      </c>
      <c r="AH306" s="122">
        <f t="shared" si="16"/>
        <v>0</v>
      </c>
    </row>
    <row r="307" spans="1:34" s="86" customFormat="1" ht="15.75">
      <c r="A307" s="125">
        <v>29</v>
      </c>
      <c r="B307" s="286">
        <f>IFERROR(VLOOKUP(A307,Cargas!$B$3:$I$93,9,FALSE),0)</f>
        <v>0</v>
      </c>
      <c r="C307" s="127" t="s">
        <v>159</v>
      </c>
      <c r="D307" s="271">
        <f t="shared" si="30"/>
        <v>0</v>
      </c>
      <c r="E307" s="268">
        <f t="shared" si="27"/>
        <v>0</v>
      </c>
      <c r="F307" s="266"/>
      <c r="G307" s="266"/>
      <c r="H307" s="266">
        <f>IFERROR( VLOOKUP(A307,Descargas!$B$3:$I$94,3,FALSE),0)</f>
        <v>0</v>
      </c>
      <c r="I307" s="266">
        <f>IFERROR( VLOOKUP(A307,Descargas!$B$3:$I$94,4,FALSE),0)</f>
        <v>0</v>
      </c>
      <c r="J307" s="266">
        <f>IFERROR( VLOOKUP(A307,Descargas!$B$3:$I$94,5,FALSE),0)</f>
        <v>0</v>
      </c>
      <c r="K307" s="266">
        <f>IFERROR( VLOOKUP(A307,Descargas!$B$3:$I$94,6,FALSE),0)</f>
        <v>0</v>
      </c>
      <c r="L307" s="266">
        <f>IFERROR( VLOOKUP(A307,Descargas!$B$3:$I$94,7,FALSE),0)</f>
        <v>0</v>
      </c>
      <c r="AB307" s="123">
        <f t="shared" si="29"/>
        <v>0</v>
      </c>
      <c r="AC307" s="123">
        <f t="shared" si="29"/>
        <v>0</v>
      </c>
      <c r="AD307" s="123">
        <f t="shared" si="29"/>
        <v>0</v>
      </c>
      <c r="AE307" s="123">
        <f t="shared" si="29"/>
        <v>0</v>
      </c>
      <c r="AF307" s="123">
        <f t="shared" si="29"/>
        <v>0</v>
      </c>
      <c r="AG307" s="123">
        <f t="shared" si="29"/>
        <v>0</v>
      </c>
      <c r="AH307" s="122">
        <f t="shared" si="16"/>
        <v>0</v>
      </c>
    </row>
    <row r="308" spans="1:34" s="86" customFormat="1" ht="15.75">
      <c r="A308" s="125">
        <v>31</v>
      </c>
      <c r="B308" s="286">
        <f>IFERROR(VLOOKUP(A308,Cargas!$B$3:$I$93,9,FALSE),0)</f>
        <v>0</v>
      </c>
      <c r="C308" s="127" t="s">
        <v>225</v>
      </c>
      <c r="D308" s="271">
        <f t="shared" si="30"/>
        <v>0</v>
      </c>
      <c r="E308" s="268">
        <f t="shared" si="27"/>
        <v>0</v>
      </c>
      <c r="F308" s="263"/>
      <c r="G308" s="266"/>
      <c r="H308" s="266">
        <f>IFERROR( VLOOKUP(A308,Descargas!$B$3:$I$94,3,FALSE),0)</f>
        <v>0</v>
      </c>
      <c r="I308" s="266">
        <f>IFERROR( VLOOKUP(A308,Descargas!$B$3:$I$94,4,FALSE),0)</f>
        <v>0</v>
      </c>
      <c r="J308" s="266">
        <f>IFERROR( VLOOKUP(A308,Descargas!$B$3:$I$94,5,FALSE),0)</f>
        <v>0</v>
      </c>
      <c r="K308" s="266">
        <f>IFERROR( VLOOKUP(A308,Descargas!$B$3:$I$94,6,FALSE),0)</f>
        <v>0</v>
      </c>
      <c r="L308" s="266">
        <f>IFERROR( VLOOKUP(A308,Descargas!$B$3:$I$94,7,FALSE),0)</f>
        <v>0</v>
      </c>
      <c r="AB308" s="123">
        <f t="shared" si="29"/>
        <v>0</v>
      </c>
      <c r="AC308" s="123">
        <f t="shared" si="29"/>
        <v>0</v>
      </c>
      <c r="AD308" s="123">
        <f t="shared" si="29"/>
        <v>0</v>
      </c>
      <c r="AE308" s="123">
        <f t="shared" si="29"/>
        <v>0</v>
      </c>
      <c r="AF308" s="123">
        <f t="shared" si="29"/>
        <v>0</v>
      </c>
      <c r="AG308" s="123">
        <f t="shared" si="29"/>
        <v>0</v>
      </c>
      <c r="AH308" s="122">
        <f t="shared" si="16"/>
        <v>0</v>
      </c>
    </row>
    <row r="309" spans="1:34" ht="15.75">
      <c r="A309" s="125">
        <v>32</v>
      </c>
      <c r="B309" s="286">
        <f>IFERROR(VLOOKUP(A309,Cargas!$B$3:$I$93,9,FALSE),0)</f>
        <v>0</v>
      </c>
      <c r="C309" s="127" t="s">
        <v>133</v>
      </c>
      <c r="D309" s="271">
        <f t="shared" si="30"/>
        <v>0</v>
      </c>
      <c r="E309" s="268">
        <f t="shared" si="27"/>
        <v>0</v>
      </c>
      <c r="F309" s="266"/>
      <c r="G309" s="266"/>
      <c r="H309" s="266">
        <f>IFERROR( VLOOKUP(A309,Descargas!$B$3:$I$94,3,FALSE),0)</f>
        <v>0</v>
      </c>
      <c r="I309" s="266">
        <f>IFERROR( VLOOKUP(A309,Descargas!$B$3:$I$94,4,FALSE),0)</f>
        <v>0</v>
      </c>
      <c r="J309" s="266">
        <f>IFERROR( VLOOKUP(A309,Descargas!$B$3:$I$94,5,FALSE),0)</f>
        <v>0</v>
      </c>
      <c r="K309" s="266">
        <f>IFERROR( VLOOKUP(A309,Descargas!$B$3:$I$94,6,FALSE),0)</f>
        <v>0</v>
      </c>
      <c r="L309" s="266">
        <f>IFERROR( VLOOKUP(A309,Descargas!$B$3:$I$94,7,FALSE),0)</f>
        <v>0</v>
      </c>
      <c r="AB309" s="123">
        <f t="shared" si="29"/>
        <v>0</v>
      </c>
      <c r="AC309" s="123">
        <f t="shared" si="29"/>
        <v>0</v>
      </c>
      <c r="AD309" s="123">
        <f t="shared" si="29"/>
        <v>0</v>
      </c>
      <c r="AE309" s="123">
        <f t="shared" si="29"/>
        <v>0</v>
      </c>
      <c r="AF309" s="123">
        <f t="shared" si="29"/>
        <v>0</v>
      </c>
      <c r="AG309" s="123">
        <f t="shared" si="29"/>
        <v>0</v>
      </c>
      <c r="AH309" s="122">
        <f t="shared" si="16"/>
        <v>0</v>
      </c>
    </row>
    <row r="310" spans="1:34" s="86" customFormat="1" ht="15.75">
      <c r="A310" s="125">
        <v>33</v>
      </c>
      <c r="B310" s="286">
        <f>IFERROR(VLOOKUP(A310,Cargas!$B$3:$I$93,9,FALSE),0)</f>
        <v>0</v>
      </c>
      <c r="C310" s="127" t="s">
        <v>226</v>
      </c>
      <c r="D310" s="271">
        <f t="shared" si="30"/>
        <v>0</v>
      </c>
      <c r="E310" s="268">
        <f t="shared" si="27"/>
        <v>0</v>
      </c>
      <c r="F310" s="266"/>
      <c r="G310" s="266"/>
      <c r="H310" s="266">
        <f>IFERROR( VLOOKUP(A310,Descargas!$B$3:$I$94,3,FALSE),0)</f>
        <v>0</v>
      </c>
      <c r="I310" s="266">
        <f>IFERROR( VLOOKUP(A310,Descargas!$B$3:$I$94,4,FALSE),0)</f>
        <v>0</v>
      </c>
      <c r="J310" s="266">
        <f>IFERROR( VLOOKUP(A310,Descargas!$B$3:$I$94,5,FALSE),0)</f>
        <v>0</v>
      </c>
      <c r="K310" s="266">
        <f>IFERROR( VLOOKUP(A310,Descargas!$B$3:$I$94,6,FALSE),0)</f>
        <v>0</v>
      </c>
      <c r="L310" s="266">
        <f>IFERROR( VLOOKUP(A310,Descargas!$B$3:$I$94,7,FALSE),0)</f>
        <v>0</v>
      </c>
      <c r="AB310" s="123">
        <f t="shared" si="29"/>
        <v>0</v>
      </c>
      <c r="AC310" s="123">
        <f t="shared" si="29"/>
        <v>0</v>
      </c>
      <c r="AD310" s="123">
        <f t="shared" si="29"/>
        <v>0</v>
      </c>
      <c r="AE310" s="123">
        <f t="shared" si="29"/>
        <v>0</v>
      </c>
      <c r="AF310" s="123">
        <f t="shared" si="29"/>
        <v>0</v>
      </c>
      <c r="AG310" s="123">
        <f t="shared" si="29"/>
        <v>0</v>
      </c>
      <c r="AH310" s="122">
        <f t="shared" si="16"/>
        <v>0</v>
      </c>
    </row>
    <row r="311" spans="1:34" s="86" customFormat="1" ht="15.75">
      <c r="A311" s="125">
        <v>34</v>
      </c>
      <c r="B311" s="286">
        <f>IFERROR(VLOOKUP(A311,Cargas!$B$3:$I$93,9,FALSE),0)</f>
        <v>0</v>
      </c>
      <c r="C311" s="127" t="s">
        <v>160</v>
      </c>
      <c r="D311" s="271">
        <f t="shared" si="30"/>
        <v>0</v>
      </c>
      <c r="E311" s="268">
        <f t="shared" si="27"/>
        <v>0</v>
      </c>
      <c r="F311" s="266"/>
      <c r="G311" s="266"/>
      <c r="H311" s="266">
        <f>IFERROR( VLOOKUP(A311,Descargas!$B$3:$I$94,3,FALSE),0)</f>
        <v>0</v>
      </c>
      <c r="I311" s="266">
        <f>IFERROR( VLOOKUP(A311,Descargas!$B$3:$I$94,4,FALSE),0)</f>
        <v>0</v>
      </c>
      <c r="J311" s="266">
        <f>IFERROR( VLOOKUP(A311,Descargas!$B$3:$I$94,5,FALSE),0)</f>
        <v>0</v>
      </c>
      <c r="K311" s="266">
        <f>IFERROR( VLOOKUP(A311,Descargas!$B$3:$I$94,6,FALSE),0)</f>
        <v>0</v>
      </c>
      <c r="L311" s="266">
        <f>IFERROR( VLOOKUP(A311,Descargas!$B$3:$I$94,7,FALSE),0)</f>
        <v>0</v>
      </c>
      <c r="AB311" s="123">
        <f t="shared" si="29"/>
        <v>0</v>
      </c>
      <c r="AC311" s="123">
        <f t="shared" si="29"/>
        <v>0</v>
      </c>
      <c r="AD311" s="123">
        <f t="shared" si="29"/>
        <v>0</v>
      </c>
      <c r="AE311" s="123">
        <f t="shared" si="29"/>
        <v>0</v>
      </c>
      <c r="AF311" s="123">
        <f t="shared" si="29"/>
        <v>0</v>
      </c>
      <c r="AG311" s="123">
        <f t="shared" si="29"/>
        <v>0</v>
      </c>
      <c r="AH311" s="122">
        <f t="shared" si="16"/>
        <v>0</v>
      </c>
    </row>
    <row r="312" spans="1:34" ht="15.75">
      <c r="A312" s="125">
        <v>35</v>
      </c>
      <c r="B312" s="286">
        <f>IFERROR(VLOOKUP(A312,Cargas!$B$3:$I$93,9,FALSE),0)</f>
        <v>0</v>
      </c>
      <c r="C312" s="127" t="s">
        <v>227</v>
      </c>
      <c r="D312" s="271">
        <f t="shared" si="30"/>
        <v>0</v>
      </c>
      <c r="E312" s="268">
        <f t="shared" si="27"/>
        <v>0</v>
      </c>
      <c r="F312" s="266"/>
      <c r="G312" s="266"/>
      <c r="H312" s="266">
        <f>IFERROR( VLOOKUP(A312,Descargas!$B$3:$I$94,3,FALSE),0)</f>
        <v>0</v>
      </c>
      <c r="I312" s="266">
        <f>IFERROR( VLOOKUP(A312,Descargas!$B$3:$I$94,4,FALSE),0)</f>
        <v>0</v>
      </c>
      <c r="J312" s="266">
        <f>IFERROR( VLOOKUP(A312,Descargas!$B$3:$I$94,5,FALSE),0)</f>
        <v>0</v>
      </c>
      <c r="K312" s="266">
        <f>IFERROR( VLOOKUP(A312,Descargas!$B$3:$I$94,6,FALSE),0)</f>
        <v>0</v>
      </c>
      <c r="L312" s="266">
        <f>IFERROR( VLOOKUP(A312,Descargas!$B$3:$I$94,7,FALSE),0)</f>
        <v>0</v>
      </c>
      <c r="AB312" s="123">
        <f t="shared" si="29"/>
        <v>0</v>
      </c>
      <c r="AC312" s="123">
        <f t="shared" si="29"/>
        <v>0</v>
      </c>
      <c r="AD312" s="123">
        <f t="shared" si="29"/>
        <v>0</v>
      </c>
      <c r="AE312" s="123">
        <f t="shared" si="29"/>
        <v>0</v>
      </c>
      <c r="AF312" s="123">
        <f t="shared" si="29"/>
        <v>0</v>
      </c>
      <c r="AG312" s="123">
        <f t="shared" si="29"/>
        <v>0</v>
      </c>
      <c r="AH312" s="122">
        <f t="shared" si="16"/>
        <v>0</v>
      </c>
    </row>
    <row r="313" spans="1:34" s="86" customFormat="1" ht="15.75">
      <c r="A313" s="125">
        <v>36</v>
      </c>
      <c r="B313" s="286">
        <f>IFERROR(VLOOKUP(A313,Cargas!$B$3:$I$93,9,FALSE),0)</f>
        <v>0</v>
      </c>
      <c r="C313" s="127" t="s">
        <v>161</v>
      </c>
      <c r="D313" s="271">
        <f t="shared" si="30"/>
        <v>0</v>
      </c>
      <c r="E313" s="268">
        <f t="shared" si="27"/>
        <v>0</v>
      </c>
      <c r="F313" s="266"/>
      <c r="G313" s="266"/>
      <c r="H313" s="266">
        <f>IFERROR( VLOOKUP(A313,Descargas!$B$3:$I$94,3,FALSE),0)</f>
        <v>0</v>
      </c>
      <c r="I313" s="266">
        <f>IFERROR( VLOOKUP(A313,Descargas!$B$3:$I$94,4,FALSE),0)</f>
        <v>0</v>
      </c>
      <c r="J313" s="266">
        <f>IFERROR( VLOOKUP(A313,Descargas!$B$3:$I$94,5,FALSE),0)</f>
        <v>0</v>
      </c>
      <c r="K313" s="266">
        <f>IFERROR( VLOOKUP(A313,Descargas!$B$3:$I$94,6,FALSE),0)</f>
        <v>0</v>
      </c>
      <c r="L313" s="266">
        <f>IFERROR( VLOOKUP(A313,Descargas!$B$3:$I$94,7,FALSE),0)</f>
        <v>0</v>
      </c>
      <c r="AB313" s="123">
        <f t="shared" si="29"/>
        <v>0</v>
      </c>
      <c r="AC313" s="123">
        <f t="shared" si="29"/>
        <v>0</v>
      </c>
      <c r="AD313" s="123">
        <f t="shared" si="29"/>
        <v>0</v>
      </c>
      <c r="AE313" s="123">
        <f t="shared" si="29"/>
        <v>0</v>
      </c>
      <c r="AF313" s="123">
        <f t="shared" si="29"/>
        <v>0</v>
      </c>
      <c r="AG313" s="123">
        <f t="shared" si="29"/>
        <v>0</v>
      </c>
      <c r="AH313" s="122">
        <f t="shared" si="16"/>
        <v>0</v>
      </c>
    </row>
    <row r="314" spans="1:34" s="86" customFormat="1" ht="15.75">
      <c r="A314" s="125">
        <v>37</v>
      </c>
      <c r="B314" s="286">
        <f>IFERROR(VLOOKUP(A314,Cargas!$B$3:$I$93,9,FALSE),0)</f>
        <v>0</v>
      </c>
      <c r="C314" s="127" t="s">
        <v>25</v>
      </c>
      <c r="D314" s="271">
        <f t="shared" si="30"/>
        <v>0</v>
      </c>
      <c r="E314" s="268">
        <f t="shared" si="27"/>
        <v>0</v>
      </c>
      <c r="F314" s="266"/>
      <c r="G314" s="266"/>
      <c r="H314" s="266">
        <f>IFERROR( VLOOKUP(A314,Descargas!$B$3:$I$94,3,FALSE),0)</f>
        <v>0</v>
      </c>
      <c r="I314" s="266">
        <f>IFERROR( VLOOKUP(A314,Descargas!$B$3:$I$94,4,FALSE),0)</f>
        <v>0</v>
      </c>
      <c r="J314" s="266">
        <f>IFERROR( VLOOKUP(A314,Descargas!$B$3:$I$94,5,FALSE),0)</f>
        <v>0</v>
      </c>
      <c r="K314" s="266">
        <f>IFERROR( VLOOKUP(A314,Descargas!$B$3:$I$94,6,FALSE),0)</f>
        <v>0</v>
      </c>
      <c r="L314" s="266">
        <f>IFERROR( VLOOKUP(A314,Descargas!$B$3:$I$94,7,FALSE),0)</f>
        <v>0</v>
      </c>
      <c r="AB314" s="123">
        <f t="shared" si="29"/>
        <v>0</v>
      </c>
      <c r="AC314" s="123">
        <f t="shared" si="29"/>
        <v>0</v>
      </c>
      <c r="AD314" s="123">
        <f t="shared" si="29"/>
        <v>0</v>
      </c>
      <c r="AE314" s="123">
        <f t="shared" si="29"/>
        <v>0</v>
      </c>
      <c r="AF314" s="123">
        <f t="shared" si="29"/>
        <v>0</v>
      </c>
      <c r="AG314" s="123">
        <f t="shared" si="29"/>
        <v>0</v>
      </c>
      <c r="AH314" s="122">
        <f t="shared" si="16"/>
        <v>0</v>
      </c>
    </row>
    <row r="315" spans="1:34" s="86" customFormat="1" ht="15.75">
      <c r="A315" s="125">
        <v>38</v>
      </c>
      <c r="B315" s="286">
        <f>IFERROR(VLOOKUP(A315,Cargas!$B$3:$I$93,9,FALSE),0)</f>
        <v>0</v>
      </c>
      <c r="C315" s="127" t="s">
        <v>228</v>
      </c>
      <c r="D315" s="271">
        <f t="shared" si="30"/>
        <v>0</v>
      </c>
      <c r="E315" s="268">
        <f t="shared" si="27"/>
        <v>0</v>
      </c>
      <c r="F315" s="266"/>
      <c r="G315" s="266"/>
      <c r="H315" s="266">
        <f>IFERROR( VLOOKUP(A315,Descargas!$B$3:$I$94,3,FALSE),0)</f>
        <v>0</v>
      </c>
      <c r="I315" s="266">
        <f>IFERROR( VLOOKUP(A315,Descargas!$B$3:$I$94,4,FALSE),0)</f>
        <v>0</v>
      </c>
      <c r="J315" s="266">
        <f>IFERROR( VLOOKUP(A315,Descargas!$B$3:$I$94,5,FALSE),0)</f>
        <v>0</v>
      </c>
      <c r="K315" s="266">
        <f>IFERROR( VLOOKUP(A315,Descargas!$B$3:$I$94,6,FALSE),0)</f>
        <v>0</v>
      </c>
      <c r="L315" s="266">
        <f>IFERROR( VLOOKUP(A315,Descargas!$B$3:$I$94,7,FALSE),0)</f>
        <v>0</v>
      </c>
      <c r="AB315" s="123">
        <f t="shared" si="29"/>
        <v>0</v>
      </c>
      <c r="AC315" s="123">
        <f t="shared" si="29"/>
        <v>0</v>
      </c>
      <c r="AD315" s="123">
        <f t="shared" si="29"/>
        <v>0</v>
      </c>
      <c r="AE315" s="123">
        <f t="shared" si="29"/>
        <v>0</v>
      </c>
      <c r="AF315" s="123">
        <f t="shared" si="29"/>
        <v>0</v>
      </c>
      <c r="AG315" s="123">
        <f t="shared" si="29"/>
        <v>0</v>
      </c>
      <c r="AH315" s="122">
        <f t="shared" si="16"/>
        <v>0</v>
      </c>
    </row>
    <row r="316" spans="1:34" s="86" customFormat="1" ht="15.75">
      <c r="A316" s="125">
        <v>39</v>
      </c>
      <c r="B316" s="286">
        <f>IFERROR(VLOOKUP(A316,Cargas!$B$3:$I$93,9,FALSE),0)</f>
        <v>0</v>
      </c>
      <c r="C316" s="127" t="s">
        <v>26</v>
      </c>
      <c r="D316" s="271">
        <f t="shared" si="30"/>
        <v>0</v>
      </c>
      <c r="E316" s="268">
        <f t="shared" si="27"/>
        <v>0</v>
      </c>
      <c r="F316" s="266"/>
      <c r="G316" s="266"/>
      <c r="H316" s="266">
        <f>IFERROR( VLOOKUP(A316,Descargas!$B$3:$I$94,3,FALSE),0)</f>
        <v>0</v>
      </c>
      <c r="I316" s="266">
        <f>IFERROR( VLOOKUP(A316,Descargas!$B$3:$I$94,4,FALSE),0)</f>
        <v>0</v>
      </c>
      <c r="J316" s="266">
        <f>IFERROR( VLOOKUP(A316,Descargas!$B$3:$I$94,5,FALSE),0)</f>
        <v>0</v>
      </c>
      <c r="K316" s="266">
        <f>IFERROR( VLOOKUP(A316,Descargas!$B$3:$I$94,6,FALSE),0)</f>
        <v>0</v>
      </c>
      <c r="L316" s="266">
        <f>IFERROR( VLOOKUP(A316,Descargas!$B$3:$I$94,7,FALSE),0)</f>
        <v>0</v>
      </c>
      <c r="AB316" s="123">
        <f t="shared" si="29"/>
        <v>0</v>
      </c>
      <c r="AC316" s="123">
        <f t="shared" si="29"/>
        <v>0</v>
      </c>
      <c r="AD316" s="123">
        <f t="shared" si="29"/>
        <v>0</v>
      </c>
      <c r="AE316" s="123">
        <f t="shared" si="29"/>
        <v>0</v>
      </c>
      <c r="AF316" s="123">
        <f t="shared" si="29"/>
        <v>0</v>
      </c>
      <c r="AG316" s="123">
        <f t="shared" si="29"/>
        <v>0</v>
      </c>
      <c r="AH316" s="122">
        <f t="shared" si="16"/>
        <v>0</v>
      </c>
    </row>
    <row r="317" spans="1:34" s="86" customFormat="1" ht="15.75">
      <c r="A317" s="125">
        <v>40</v>
      </c>
      <c r="B317" s="286">
        <f>IFERROR(VLOOKUP(A317,Cargas!$B$3:$I$93,9,FALSE),0)</f>
        <v>0</v>
      </c>
      <c r="C317" s="127" t="s">
        <v>101</v>
      </c>
      <c r="D317" s="271">
        <f t="shared" si="30"/>
        <v>0</v>
      </c>
      <c r="E317" s="268">
        <f t="shared" si="27"/>
        <v>0</v>
      </c>
      <c r="F317" s="266"/>
      <c r="G317" s="266"/>
      <c r="H317" s="266">
        <f>IFERROR( VLOOKUP(A317,Descargas!$B$3:$I$94,3,FALSE),0)</f>
        <v>0</v>
      </c>
      <c r="I317" s="266">
        <f>IFERROR( VLOOKUP(A317,Descargas!$B$3:$I$94,4,FALSE),0)</f>
        <v>0</v>
      </c>
      <c r="J317" s="266">
        <f>IFERROR( VLOOKUP(A317,Descargas!$B$3:$I$94,5,FALSE),0)</f>
        <v>0</v>
      </c>
      <c r="K317" s="266">
        <f>IFERROR( VLOOKUP(A317,Descargas!$B$3:$I$94,6,FALSE),0)</f>
        <v>0</v>
      </c>
      <c r="L317" s="266">
        <f>IFERROR( VLOOKUP(A317,Descargas!$B$3:$I$94,7,FALSE),0)</f>
        <v>0</v>
      </c>
      <c r="AB317" s="123">
        <f t="shared" si="29"/>
        <v>0</v>
      </c>
      <c r="AC317" s="123">
        <f t="shared" si="29"/>
        <v>0</v>
      </c>
      <c r="AD317" s="123">
        <f t="shared" si="29"/>
        <v>0</v>
      </c>
      <c r="AE317" s="123">
        <f t="shared" si="29"/>
        <v>0</v>
      </c>
      <c r="AF317" s="123">
        <f t="shared" si="29"/>
        <v>0</v>
      </c>
      <c r="AG317" s="123">
        <f t="shared" si="29"/>
        <v>0</v>
      </c>
      <c r="AH317" s="122">
        <f t="shared" si="16"/>
        <v>0</v>
      </c>
    </row>
    <row r="318" spans="1:34" s="86" customFormat="1" ht="15.75">
      <c r="A318" s="125">
        <v>41</v>
      </c>
      <c r="B318" s="286">
        <f>IFERROR(VLOOKUP(A318,Cargas!$B$3:$I$93,9,FALSE),0)</f>
        <v>0</v>
      </c>
      <c r="C318" s="127">
        <v>41</v>
      </c>
      <c r="D318" s="271">
        <f t="shared" si="30"/>
        <v>0</v>
      </c>
      <c r="E318" s="268">
        <f t="shared" si="27"/>
        <v>0</v>
      </c>
      <c r="F318" s="266"/>
      <c r="G318" s="266"/>
      <c r="H318" s="266">
        <f>IFERROR( VLOOKUP(A318,Descargas!$B$3:$I$94,3,FALSE),0)</f>
        <v>0</v>
      </c>
      <c r="I318" s="266">
        <f>IFERROR( VLOOKUP(A318,Descargas!$B$3:$I$94,4,FALSE),0)</f>
        <v>0</v>
      </c>
      <c r="J318" s="266">
        <f>IFERROR( VLOOKUP(A318,Descargas!$B$3:$I$94,5,FALSE),0)</f>
        <v>0</v>
      </c>
      <c r="K318" s="266">
        <f>IFERROR( VLOOKUP(A318,Descargas!$B$3:$I$94,6,FALSE),0)</f>
        <v>0</v>
      </c>
      <c r="L318" s="266">
        <f>IFERROR( VLOOKUP(A318,Descargas!$B$3:$I$94,7,FALSE),0)</f>
        <v>0</v>
      </c>
      <c r="AB318" s="123">
        <f t="shared" si="29"/>
        <v>0</v>
      </c>
      <c r="AC318" s="123">
        <f t="shared" si="29"/>
        <v>0</v>
      </c>
      <c r="AD318" s="123">
        <f t="shared" si="29"/>
        <v>0</v>
      </c>
      <c r="AE318" s="123">
        <f t="shared" si="29"/>
        <v>0</v>
      </c>
      <c r="AF318" s="123">
        <f t="shared" si="29"/>
        <v>0</v>
      </c>
      <c r="AG318" s="123">
        <f t="shared" si="29"/>
        <v>0</v>
      </c>
      <c r="AH318" s="122">
        <f t="shared" si="16"/>
        <v>0</v>
      </c>
    </row>
    <row r="319" spans="1:34" s="86" customFormat="1" ht="15.75">
      <c r="A319" s="125">
        <v>42</v>
      </c>
      <c r="B319" s="286">
        <f>IFERROR(VLOOKUP(A319,Cargas!$B$3:$I$93,9,FALSE),0)</f>
        <v>0</v>
      </c>
      <c r="C319" s="127" t="s">
        <v>27</v>
      </c>
      <c r="D319" s="271">
        <f t="shared" si="30"/>
        <v>0</v>
      </c>
      <c r="E319" s="268">
        <f t="shared" si="27"/>
        <v>0</v>
      </c>
      <c r="F319" s="266"/>
      <c r="G319" s="266"/>
      <c r="H319" s="266">
        <f>IFERROR( VLOOKUP(A319,Descargas!$B$3:$I$94,3,FALSE),0)</f>
        <v>0</v>
      </c>
      <c r="I319" s="266">
        <f>IFERROR( VLOOKUP(A319,Descargas!$B$3:$I$94,4,FALSE),0)</f>
        <v>0</v>
      </c>
      <c r="J319" s="266">
        <f>IFERROR( VLOOKUP(A319,Descargas!$B$3:$I$94,5,FALSE),0)</f>
        <v>0</v>
      </c>
      <c r="K319" s="266">
        <f>IFERROR( VLOOKUP(A319,Descargas!$B$3:$I$94,6,FALSE),0)</f>
        <v>0</v>
      </c>
      <c r="L319" s="266">
        <f>IFERROR( VLOOKUP(A319,Descargas!$B$3:$I$94,7,FALSE),0)</f>
        <v>0</v>
      </c>
      <c r="AB319" s="123">
        <f t="shared" si="29"/>
        <v>0</v>
      </c>
      <c r="AC319" s="123">
        <f t="shared" si="29"/>
        <v>0</v>
      </c>
      <c r="AD319" s="123">
        <f t="shared" si="29"/>
        <v>0</v>
      </c>
      <c r="AE319" s="123">
        <f t="shared" si="29"/>
        <v>0</v>
      </c>
      <c r="AF319" s="123">
        <f t="shared" si="29"/>
        <v>0</v>
      </c>
      <c r="AG319" s="123">
        <f t="shared" si="29"/>
        <v>0</v>
      </c>
      <c r="AH319" s="122">
        <f t="shared" si="16"/>
        <v>0</v>
      </c>
    </row>
    <row r="320" spans="1:34" ht="15.75">
      <c r="A320" s="125">
        <v>43</v>
      </c>
      <c r="B320" s="286">
        <f>IFERROR(VLOOKUP(A320,Cargas!$B$3:$I$93,9,FALSE),0)</f>
        <v>0</v>
      </c>
      <c r="C320" s="127" t="s">
        <v>229</v>
      </c>
      <c r="D320" s="271">
        <f t="shared" si="30"/>
        <v>0</v>
      </c>
      <c r="E320" s="268">
        <f t="shared" si="27"/>
        <v>0</v>
      </c>
      <c r="F320" s="266"/>
      <c r="G320" s="266"/>
      <c r="H320" s="266">
        <f>IFERROR( VLOOKUP(A320,Descargas!$B$3:$I$94,3,FALSE),0)</f>
        <v>0</v>
      </c>
      <c r="I320" s="266">
        <f>IFERROR( VLOOKUP(A320,Descargas!$B$3:$I$94,4,FALSE),0)</f>
        <v>0</v>
      </c>
      <c r="J320" s="266">
        <f>IFERROR( VLOOKUP(A320,Descargas!$B$3:$I$94,5,FALSE),0)</f>
        <v>0</v>
      </c>
      <c r="K320" s="266">
        <f>IFERROR( VLOOKUP(A320,Descargas!$B$3:$I$94,6,FALSE),0)</f>
        <v>0</v>
      </c>
      <c r="L320" s="266">
        <f>IFERROR( VLOOKUP(A320,Descargas!$B$3:$I$94,7,FALSE),0)</f>
        <v>0</v>
      </c>
      <c r="AB320" s="123">
        <f t="shared" si="29"/>
        <v>0</v>
      </c>
      <c r="AC320" s="123">
        <f t="shared" si="29"/>
        <v>0</v>
      </c>
      <c r="AD320" s="123">
        <f t="shared" si="29"/>
        <v>0</v>
      </c>
      <c r="AE320" s="123">
        <f t="shared" si="29"/>
        <v>0</v>
      </c>
      <c r="AF320" s="123">
        <f t="shared" si="29"/>
        <v>0</v>
      </c>
      <c r="AG320" s="123">
        <f t="shared" si="29"/>
        <v>0</v>
      </c>
      <c r="AH320" s="122">
        <f t="shared" si="16"/>
        <v>0</v>
      </c>
    </row>
    <row r="321" spans="1:34" s="86" customFormat="1" ht="15.75">
      <c r="A321" s="125">
        <v>44</v>
      </c>
      <c r="B321" s="286">
        <f>IFERROR(VLOOKUP(A321,Cargas!$B$3:$I$93,9,FALSE),0)</f>
        <v>0</v>
      </c>
      <c r="C321" s="127" t="s">
        <v>93</v>
      </c>
      <c r="D321" s="271">
        <f t="shared" si="30"/>
        <v>0</v>
      </c>
      <c r="E321" s="268">
        <f t="shared" si="27"/>
        <v>0</v>
      </c>
      <c r="F321" s="266"/>
      <c r="G321" s="266"/>
      <c r="H321" s="266">
        <f>IFERROR( VLOOKUP(A321,Descargas!$B$3:$I$94,3,FALSE),0)</f>
        <v>0</v>
      </c>
      <c r="I321" s="266">
        <f>IFERROR( VLOOKUP(A321,Descargas!$B$3:$I$94,4,FALSE),0)</f>
        <v>0</v>
      </c>
      <c r="J321" s="266">
        <f>IFERROR( VLOOKUP(A321,Descargas!$B$3:$I$94,5,FALSE),0)</f>
        <v>0</v>
      </c>
      <c r="K321" s="266">
        <f>IFERROR( VLOOKUP(A321,Descargas!$B$3:$I$94,6,FALSE),0)</f>
        <v>0</v>
      </c>
      <c r="L321" s="266">
        <f>IFERROR( VLOOKUP(A321,Descargas!$B$3:$I$94,7,FALSE),0)</f>
        <v>0</v>
      </c>
      <c r="AB321" s="123">
        <f t="shared" si="29"/>
        <v>0</v>
      </c>
      <c r="AC321" s="123">
        <f t="shared" si="29"/>
        <v>0</v>
      </c>
      <c r="AD321" s="123">
        <f t="shared" si="29"/>
        <v>0</v>
      </c>
      <c r="AE321" s="123">
        <f t="shared" si="29"/>
        <v>0</v>
      </c>
      <c r="AF321" s="123">
        <f t="shared" si="29"/>
        <v>0</v>
      </c>
      <c r="AG321" s="123">
        <f t="shared" si="29"/>
        <v>0</v>
      </c>
      <c r="AH321" s="122">
        <f t="shared" si="16"/>
        <v>0</v>
      </c>
    </row>
    <row r="322" spans="1:34" s="86" customFormat="1" ht="15.75">
      <c r="A322" s="125">
        <v>45</v>
      </c>
      <c r="B322" s="286">
        <f>IFERROR(VLOOKUP(A322,Cargas!$B$3:$I$93,9,FALSE),0)</f>
        <v>0</v>
      </c>
      <c r="C322" s="127" t="s">
        <v>28</v>
      </c>
      <c r="D322" s="271">
        <f t="shared" si="30"/>
        <v>0</v>
      </c>
      <c r="E322" s="268">
        <f t="shared" si="27"/>
        <v>0</v>
      </c>
      <c r="F322" s="266"/>
      <c r="G322" s="266"/>
      <c r="H322" s="266">
        <f>IFERROR( VLOOKUP(A322,Descargas!$B$3:$I$94,3,FALSE),0)</f>
        <v>0</v>
      </c>
      <c r="I322" s="266">
        <f>IFERROR( VLOOKUP(A322,Descargas!$B$3:$I$94,4,FALSE),0)</f>
        <v>0</v>
      </c>
      <c r="J322" s="266">
        <f>IFERROR( VLOOKUP(A322,Descargas!$B$3:$I$94,5,FALSE),0)</f>
        <v>0</v>
      </c>
      <c r="K322" s="266">
        <f>IFERROR( VLOOKUP(A322,Descargas!$B$3:$I$94,6,FALSE),0)</f>
        <v>0</v>
      </c>
      <c r="L322" s="266">
        <f>IFERROR( VLOOKUP(A322,Descargas!$B$3:$I$94,7,FALSE),0)</f>
        <v>0</v>
      </c>
      <c r="AB322" s="123">
        <f t="shared" si="29"/>
        <v>0</v>
      </c>
      <c r="AC322" s="123">
        <f t="shared" si="29"/>
        <v>0</v>
      </c>
      <c r="AD322" s="123">
        <f t="shared" si="29"/>
        <v>0</v>
      </c>
      <c r="AE322" s="123">
        <f t="shared" si="29"/>
        <v>0</v>
      </c>
      <c r="AF322" s="123">
        <f t="shared" si="29"/>
        <v>0</v>
      </c>
      <c r="AG322" s="123">
        <f t="shared" si="29"/>
        <v>0</v>
      </c>
      <c r="AH322" s="122">
        <f t="shared" si="16"/>
        <v>0</v>
      </c>
    </row>
    <row r="323" spans="1:34" s="86" customFormat="1" ht="15.75">
      <c r="A323" s="125">
        <v>47</v>
      </c>
      <c r="B323" s="286">
        <f>IFERROR(VLOOKUP(A323,Cargas!$B$3:$I$93,9,FALSE),0)</f>
        <v>0</v>
      </c>
      <c r="C323" s="127" t="s">
        <v>154</v>
      </c>
      <c r="D323" s="271">
        <f t="shared" si="30"/>
        <v>0</v>
      </c>
      <c r="E323" s="268">
        <f t="shared" si="27"/>
        <v>0</v>
      </c>
      <c r="F323" s="266"/>
      <c r="G323" s="266"/>
      <c r="H323" s="266">
        <f>IFERROR( VLOOKUP(A323,Descargas!$B$3:$I$94,3,FALSE),0)</f>
        <v>0</v>
      </c>
      <c r="I323" s="266">
        <f>IFERROR( VLOOKUP(A323,Descargas!$B$3:$I$94,4,FALSE),0)</f>
        <v>0</v>
      </c>
      <c r="J323" s="266">
        <f>IFERROR( VLOOKUP(A323,Descargas!$B$3:$I$94,5,FALSE),0)</f>
        <v>0</v>
      </c>
      <c r="K323" s="266">
        <f>IFERROR( VLOOKUP(A323,Descargas!$B$3:$I$94,6,FALSE),0)</f>
        <v>0</v>
      </c>
      <c r="L323" s="266">
        <f>IFERROR( VLOOKUP(A323,Descargas!$B$3:$I$94,7,FALSE),0)</f>
        <v>0</v>
      </c>
      <c r="AB323" s="123">
        <f t="shared" si="29"/>
        <v>0</v>
      </c>
      <c r="AC323" s="123">
        <f t="shared" si="29"/>
        <v>0</v>
      </c>
      <c r="AD323" s="123">
        <f t="shared" si="29"/>
        <v>0</v>
      </c>
      <c r="AE323" s="123">
        <f t="shared" si="29"/>
        <v>0</v>
      </c>
      <c r="AF323" s="123">
        <f t="shared" si="29"/>
        <v>0</v>
      </c>
      <c r="AG323" s="123">
        <f t="shared" si="29"/>
        <v>0</v>
      </c>
      <c r="AH323" s="122">
        <f t="shared" si="16"/>
        <v>0</v>
      </c>
    </row>
    <row r="324" spans="1:34" s="86" customFormat="1" ht="15.75">
      <c r="A324" s="125">
        <v>48</v>
      </c>
      <c r="B324" s="286">
        <f>IFERROR(VLOOKUP(A324,Cargas!$B$3:$I$93,9,FALSE),0)</f>
        <v>0</v>
      </c>
      <c r="C324" s="127" t="s">
        <v>29</v>
      </c>
      <c r="D324" s="271">
        <f t="shared" si="30"/>
        <v>0</v>
      </c>
      <c r="E324" s="268">
        <f t="shared" si="27"/>
        <v>0</v>
      </c>
      <c r="F324" s="266"/>
      <c r="G324" s="266"/>
      <c r="H324" s="266">
        <f>IFERROR( VLOOKUP(A324,Descargas!$B$3:$I$94,3,FALSE),0)</f>
        <v>0</v>
      </c>
      <c r="I324" s="266">
        <f>IFERROR( VLOOKUP(A324,Descargas!$B$3:$I$94,4,FALSE),0)</f>
        <v>0</v>
      </c>
      <c r="J324" s="266">
        <f>IFERROR( VLOOKUP(A324,Descargas!$B$3:$I$94,5,FALSE),0)</f>
        <v>0</v>
      </c>
      <c r="K324" s="266">
        <f>IFERROR( VLOOKUP(A324,Descargas!$B$3:$I$94,6,FALSE),0)</f>
        <v>0</v>
      </c>
      <c r="L324" s="266">
        <f>IFERROR( VLOOKUP(A324,Descargas!$B$3:$I$94,7,FALSE),0)</f>
        <v>0</v>
      </c>
      <c r="AB324" s="123">
        <f t="shared" si="29"/>
        <v>0</v>
      </c>
      <c r="AC324" s="123">
        <f t="shared" si="29"/>
        <v>0</v>
      </c>
      <c r="AD324" s="123">
        <f t="shared" si="29"/>
        <v>0</v>
      </c>
      <c r="AE324" s="123">
        <f t="shared" si="29"/>
        <v>0</v>
      </c>
      <c r="AF324" s="123">
        <f t="shared" si="29"/>
        <v>0</v>
      </c>
      <c r="AG324" s="123">
        <f t="shared" si="29"/>
        <v>0</v>
      </c>
      <c r="AH324" s="122">
        <f t="shared" si="16"/>
        <v>0</v>
      </c>
    </row>
    <row r="325" spans="1:34" s="86" customFormat="1" ht="15.75">
      <c r="A325" s="125">
        <v>49</v>
      </c>
      <c r="B325" s="286">
        <f>IFERROR(VLOOKUP(A325,Cargas!$B$3:$I$93,9,FALSE),0)</f>
        <v>0</v>
      </c>
      <c r="C325" s="127" t="s">
        <v>162</v>
      </c>
      <c r="D325" s="271">
        <f t="shared" si="30"/>
        <v>0</v>
      </c>
      <c r="E325" s="268">
        <f t="shared" si="27"/>
        <v>0</v>
      </c>
      <c r="F325" s="266"/>
      <c r="G325" s="266"/>
      <c r="H325" s="266">
        <f>IFERROR( VLOOKUP(A325,Descargas!$B$3:$I$94,3,FALSE),0)</f>
        <v>0</v>
      </c>
      <c r="I325" s="266">
        <f>IFERROR( VLOOKUP(A325,Descargas!$B$3:$I$94,4,FALSE),0)</f>
        <v>0</v>
      </c>
      <c r="J325" s="266">
        <f>IFERROR( VLOOKUP(A325,Descargas!$B$3:$I$94,5,FALSE),0)</f>
        <v>0</v>
      </c>
      <c r="K325" s="266">
        <f>IFERROR( VLOOKUP(A325,Descargas!$B$3:$I$94,6,FALSE),0)</f>
        <v>0</v>
      </c>
      <c r="L325" s="266">
        <f>IFERROR( VLOOKUP(A325,Descargas!$B$3:$I$94,7,FALSE),0)</f>
        <v>0</v>
      </c>
      <c r="AB325" s="123">
        <f t="shared" si="29"/>
        <v>0</v>
      </c>
      <c r="AC325" s="123">
        <f t="shared" si="29"/>
        <v>0</v>
      </c>
      <c r="AD325" s="123">
        <f t="shared" si="29"/>
        <v>0</v>
      </c>
      <c r="AE325" s="123">
        <f t="shared" si="29"/>
        <v>0</v>
      </c>
      <c r="AF325" s="123">
        <f t="shared" si="29"/>
        <v>0</v>
      </c>
      <c r="AG325" s="123">
        <f t="shared" si="29"/>
        <v>0</v>
      </c>
      <c r="AH325" s="122">
        <f t="shared" si="16"/>
        <v>0</v>
      </c>
    </row>
    <row r="326" spans="1:34" s="86" customFormat="1" ht="15.75">
      <c r="A326" s="125">
        <v>50</v>
      </c>
      <c r="B326" s="286">
        <f>IFERROR(VLOOKUP(A326,Cargas!$B$3:$I$93,9,FALSE),0)</f>
        <v>0</v>
      </c>
      <c r="C326" s="127" t="s">
        <v>30</v>
      </c>
      <c r="D326" s="271">
        <f t="shared" si="30"/>
        <v>0</v>
      </c>
      <c r="E326" s="268">
        <f t="shared" si="27"/>
        <v>0</v>
      </c>
      <c r="F326" s="266"/>
      <c r="G326" s="266"/>
      <c r="H326" s="266">
        <f>IFERROR( VLOOKUP(A326,Descargas!$B$3:$I$94,3,FALSE),0)</f>
        <v>0</v>
      </c>
      <c r="I326" s="266">
        <f>IFERROR( VLOOKUP(A326,Descargas!$B$3:$I$94,4,FALSE),0)</f>
        <v>0</v>
      </c>
      <c r="J326" s="266">
        <f>IFERROR( VLOOKUP(A326,Descargas!$B$3:$I$94,5,FALSE),0)</f>
        <v>0</v>
      </c>
      <c r="K326" s="266">
        <f>IFERROR( VLOOKUP(A326,Descargas!$B$3:$I$94,6,FALSE),0)</f>
        <v>0</v>
      </c>
      <c r="L326" s="266">
        <f>IFERROR( VLOOKUP(A326,Descargas!$B$3:$I$94,7,FALSE),0)</f>
        <v>0</v>
      </c>
      <c r="AB326" s="123">
        <f t="shared" si="29"/>
        <v>0</v>
      </c>
      <c r="AC326" s="123">
        <f t="shared" si="29"/>
        <v>0</v>
      </c>
      <c r="AD326" s="123">
        <f t="shared" si="29"/>
        <v>0</v>
      </c>
      <c r="AE326" s="123">
        <f t="shared" si="29"/>
        <v>0</v>
      </c>
      <c r="AF326" s="123">
        <f t="shared" si="29"/>
        <v>0</v>
      </c>
      <c r="AG326" s="123">
        <f t="shared" si="29"/>
        <v>0</v>
      </c>
      <c r="AH326" s="122">
        <f t="shared" si="16"/>
        <v>0</v>
      </c>
    </row>
    <row r="327" spans="1:34" s="86" customFormat="1" ht="15.75">
      <c r="A327" s="125">
        <v>51</v>
      </c>
      <c r="B327" s="286">
        <f>IFERROR(VLOOKUP(A327,Cargas!$B$3:$I$93,9,FALSE),0)</f>
        <v>0</v>
      </c>
      <c r="C327" s="127">
        <v>51</v>
      </c>
      <c r="D327" s="271">
        <f t="shared" si="30"/>
        <v>0</v>
      </c>
      <c r="E327" s="268">
        <f t="shared" si="27"/>
        <v>0</v>
      </c>
      <c r="F327" s="266"/>
      <c r="G327" s="266"/>
      <c r="H327" s="266">
        <f>IFERROR( VLOOKUP(A327,Descargas!$B$3:$I$94,3,FALSE),0)</f>
        <v>0</v>
      </c>
      <c r="I327" s="266">
        <f>IFERROR( VLOOKUP(A327,Descargas!$B$3:$I$94,4,FALSE),0)</f>
        <v>0</v>
      </c>
      <c r="J327" s="266">
        <f>IFERROR( VLOOKUP(A327,Descargas!$B$3:$I$94,5,FALSE),0)</f>
        <v>0</v>
      </c>
      <c r="K327" s="266">
        <f>IFERROR( VLOOKUP(A327,Descargas!$B$3:$I$94,6,FALSE),0)</f>
        <v>0</v>
      </c>
      <c r="L327" s="266">
        <f>IFERROR( VLOOKUP(A327,Descargas!$B$3:$I$94,7,FALSE),0)</f>
        <v>0</v>
      </c>
      <c r="AB327" s="123">
        <f t="shared" si="29"/>
        <v>0</v>
      </c>
      <c r="AC327" s="123">
        <f t="shared" si="29"/>
        <v>0</v>
      </c>
      <c r="AD327" s="123">
        <f t="shared" si="29"/>
        <v>0</v>
      </c>
      <c r="AE327" s="123">
        <f t="shared" si="29"/>
        <v>0</v>
      </c>
      <c r="AF327" s="123">
        <f t="shared" si="29"/>
        <v>0</v>
      </c>
      <c r="AG327" s="123">
        <f t="shared" si="29"/>
        <v>0</v>
      </c>
      <c r="AH327" s="122">
        <f t="shared" si="16"/>
        <v>0</v>
      </c>
    </row>
    <row r="328" spans="1:34" s="86" customFormat="1" ht="15.75">
      <c r="A328" s="125">
        <v>52</v>
      </c>
      <c r="B328" s="286">
        <f>IFERROR(VLOOKUP(A328,Cargas!$B$3:$I$93,9,FALSE),0)</f>
        <v>0</v>
      </c>
      <c r="C328" s="127">
        <v>52</v>
      </c>
      <c r="D328" s="271">
        <f>+SUM(G328:L328)</f>
        <v>0</v>
      </c>
      <c r="E328" s="268">
        <f t="shared" si="27"/>
        <v>0</v>
      </c>
      <c r="F328" s="266"/>
      <c r="G328" s="266"/>
      <c r="H328" s="266">
        <f>IFERROR( VLOOKUP(A328,Descargas!$B$3:$I$94,3,FALSE),0)</f>
        <v>0</v>
      </c>
      <c r="I328" s="266">
        <f>IFERROR( VLOOKUP(A328,Descargas!$B$3:$I$94,4,FALSE),0)</f>
        <v>0</v>
      </c>
      <c r="J328" s="266">
        <f>IFERROR( VLOOKUP(A328,Descargas!$B$3:$I$94,5,FALSE),0)</f>
        <v>0</v>
      </c>
      <c r="K328" s="266">
        <f>IFERROR( VLOOKUP(A328,Descargas!$B$3:$I$94,6,FALSE),0)</f>
        <v>0</v>
      </c>
      <c r="L328" s="266">
        <f>IFERROR( VLOOKUP(A328,Descargas!$B$3:$I$94,7,FALSE),0)</f>
        <v>0</v>
      </c>
      <c r="AB328" s="123">
        <f t="shared" si="29"/>
        <v>0</v>
      </c>
      <c r="AC328" s="123">
        <f t="shared" si="29"/>
        <v>0</v>
      </c>
      <c r="AD328" s="123">
        <f t="shared" si="29"/>
        <v>0</v>
      </c>
      <c r="AE328" s="123">
        <f t="shared" ref="AE328:AG390" si="31">+J328/J$9</f>
        <v>0</v>
      </c>
      <c r="AF328" s="123">
        <f t="shared" si="31"/>
        <v>0</v>
      </c>
      <c r="AG328" s="123">
        <f t="shared" si="31"/>
        <v>0</v>
      </c>
      <c r="AH328" s="122">
        <f t="shared" si="16"/>
        <v>0</v>
      </c>
    </row>
    <row r="329" spans="1:34" ht="15.75">
      <c r="A329" s="125">
        <v>53</v>
      </c>
      <c r="B329" s="286">
        <f>IFERROR(VLOOKUP(A329,Cargas!$B$3:$I$93,9,FALSE),0)</f>
        <v>0</v>
      </c>
      <c r="C329" s="127" t="s">
        <v>31</v>
      </c>
      <c r="D329" s="271">
        <f t="shared" ref="D329:D359" si="32">+SUM(H329:L329)</f>
        <v>0</v>
      </c>
      <c r="E329" s="268">
        <f t="shared" si="27"/>
        <v>0</v>
      </c>
      <c r="F329" s="266"/>
      <c r="G329" s="266"/>
      <c r="H329" s="266">
        <f>IFERROR( VLOOKUP(A329,Descargas!$B$3:$I$94,3,FALSE),0)</f>
        <v>0</v>
      </c>
      <c r="I329" s="266">
        <f>IFERROR( VLOOKUP(A329,Descargas!$B$3:$I$94,4,FALSE),0)</f>
        <v>0</v>
      </c>
      <c r="J329" s="266">
        <f>IFERROR( VLOOKUP(A329,Descargas!$B$3:$I$94,5,FALSE),0)</f>
        <v>0</v>
      </c>
      <c r="K329" s="266">
        <f>IFERROR( VLOOKUP(A329,Descargas!$B$3:$I$94,6,FALSE),0)</f>
        <v>0</v>
      </c>
      <c r="L329" s="266">
        <f>IFERROR( VLOOKUP(A329,Descargas!$B$3:$I$94,7,FALSE),0)</f>
        <v>0</v>
      </c>
      <c r="AB329" s="123">
        <f t="shared" ref="AB329:AG391" si="33">+G329/G$9</f>
        <v>0</v>
      </c>
      <c r="AC329" s="123">
        <f t="shared" si="33"/>
        <v>0</v>
      </c>
      <c r="AD329" s="123">
        <f t="shared" si="33"/>
        <v>0</v>
      </c>
      <c r="AE329" s="123">
        <f t="shared" si="31"/>
        <v>0</v>
      </c>
      <c r="AF329" s="123">
        <f t="shared" si="31"/>
        <v>0</v>
      </c>
      <c r="AG329" s="123">
        <f t="shared" si="31"/>
        <v>0</v>
      </c>
      <c r="AH329" s="122">
        <f t="shared" si="16"/>
        <v>0</v>
      </c>
    </row>
    <row r="330" spans="1:34" s="86" customFormat="1" ht="15.75">
      <c r="A330" s="125">
        <v>55</v>
      </c>
      <c r="B330" s="286">
        <f>IFERROR(VLOOKUP(A330,Cargas!$B$3:$I$93,9,FALSE),0)</f>
        <v>0</v>
      </c>
      <c r="C330" s="127" t="s">
        <v>32</v>
      </c>
      <c r="D330" s="271">
        <f t="shared" si="32"/>
        <v>0</v>
      </c>
      <c r="E330" s="268">
        <f t="shared" si="27"/>
        <v>0</v>
      </c>
      <c r="F330" s="266"/>
      <c r="G330" s="266"/>
      <c r="H330" s="266">
        <f>IFERROR( VLOOKUP(A330,Descargas!$B$3:$I$94,3,FALSE),0)</f>
        <v>0</v>
      </c>
      <c r="I330" s="266">
        <f>IFERROR( VLOOKUP(A330,Descargas!$B$3:$I$94,4,FALSE),0)</f>
        <v>0</v>
      </c>
      <c r="J330" s="266">
        <f>IFERROR( VLOOKUP(A330,Descargas!$B$3:$I$94,5,FALSE),0)</f>
        <v>0</v>
      </c>
      <c r="K330" s="266">
        <f>IFERROR( VLOOKUP(A330,Descargas!$B$3:$I$94,6,FALSE),0)</f>
        <v>0</v>
      </c>
      <c r="L330" s="266">
        <f>IFERROR( VLOOKUP(A330,Descargas!$B$3:$I$94,7,FALSE),0)</f>
        <v>0</v>
      </c>
      <c r="AB330" s="123">
        <f t="shared" si="33"/>
        <v>0</v>
      </c>
      <c r="AC330" s="123">
        <f t="shared" si="33"/>
        <v>0</v>
      </c>
      <c r="AD330" s="123">
        <f t="shared" si="33"/>
        <v>0</v>
      </c>
      <c r="AE330" s="123">
        <f t="shared" si="31"/>
        <v>0</v>
      </c>
      <c r="AF330" s="123">
        <f t="shared" si="31"/>
        <v>0</v>
      </c>
      <c r="AG330" s="123">
        <f t="shared" si="31"/>
        <v>0</v>
      </c>
      <c r="AH330" s="122">
        <f t="shared" si="16"/>
        <v>0</v>
      </c>
    </row>
    <row r="331" spans="1:34" s="86" customFormat="1" ht="15.75">
      <c r="A331" s="125">
        <v>57</v>
      </c>
      <c r="B331" s="286">
        <f>IFERROR(VLOOKUP(A331,Cargas!$B$3:$I$93,9,FALSE),0)</f>
        <v>0</v>
      </c>
      <c r="C331" s="127" t="s">
        <v>163</v>
      </c>
      <c r="D331" s="271">
        <f>+SUM(H331:L331)</f>
        <v>0</v>
      </c>
      <c r="E331" s="268">
        <f t="shared" si="27"/>
        <v>0</v>
      </c>
      <c r="F331" s="266"/>
      <c r="G331" s="266"/>
      <c r="H331" s="266">
        <f>IFERROR( VLOOKUP(A331,Descargas!$B$3:$I$94,3,FALSE),0)</f>
        <v>0</v>
      </c>
      <c r="I331" s="266">
        <f>IFERROR( VLOOKUP(A331,Descargas!$B$3:$I$94,4,FALSE),0)</f>
        <v>0</v>
      </c>
      <c r="J331" s="266">
        <f>IFERROR( VLOOKUP(A331,Descargas!$B$3:$I$94,5,FALSE),0)</f>
        <v>0</v>
      </c>
      <c r="K331" s="266">
        <f>IFERROR( VLOOKUP(A331,Descargas!$B$3:$I$94,6,FALSE),0)</f>
        <v>0</v>
      </c>
      <c r="L331" s="277">
        <f>IFERROR( VLOOKUP(A331,Descargas!$B$3:$I$94,7,FALSE),0)</f>
        <v>0</v>
      </c>
      <c r="AB331" s="123">
        <f t="shared" si="33"/>
        <v>0</v>
      </c>
      <c r="AC331" s="123">
        <f t="shared" si="33"/>
        <v>0</v>
      </c>
      <c r="AD331" s="123">
        <f t="shared" si="33"/>
        <v>0</v>
      </c>
      <c r="AE331" s="123">
        <f t="shared" si="31"/>
        <v>0</v>
      </c>
      <c r="AF331" s="123">
        <f t="shared" si="31"/>
        <v>0</v>
      </c>
      <c r="AG331" s="123">
        <f t="shared" si="31"/>
        <v>0</v>
      </c>
      <c r="AH331" s="122">
        <f t="shared" si="16"/>
        <v>0</v>
      </c>
    </row>
    <row r="332" spans="1:34" s="86" customFormat="1" ht="15.75">
      <c r="A332" s="125">
        <v>58</v>
      </c>
      <c r="B332" s="286">
        <f>IFERROR(VLOOKUP(A332,Cargas!$B$3:$I$93,9,FALSE),0)</f>
        <v>0</v>
      </c>
      <c r="C332" s="127" t="s">
        <v>33</v>
      </c>
      <c r="D332" s="271">
        <f t="shared" si="32"/>
        <v>0</v>
      </c>
      <c r="E332" s="268">
        <f t="shared" si="27"/>
        <v>0</v>
      </c>
      <c r="F332" s="266"/>
      <c r="G332" s="266"/>
      <c r="H332" s="266">
        <f>IFERROR( VLOOKUP(A332,Descargas!$B$3:$I$94,3,FALSE),0)</f>
        <v>0</v>
      </c>
      <c r="I332" s="266">
        <f>IFERROR( VLOOKUP(A332,Descargas!$B$3:$I$94,4,FALSE),0)</f>
        <v>0</v>
      </c>
      <c r="J332" s="266">
        <f>IFERROR( VLOOKUP(A332,Descargas!$B$3:$I$94,5,FALSE),0)</f>
        <v>0</v>
      </c>
      <c r="K332" s="266">
        <f>IFERROR( VLOOKUP(A332,Descargas!$B$3:$I$94,6,FALSE),0)</f>
        <v>0</v>
      </c>
      <c r="L332" s="266">
        <f>IFERROR( VLOOKUP(A332,Descargas!$B$3:$I$94,7,FALSE),0)</f>
        <v>0</v>
      </c>
      <c r="AB332" s="123">
        <f t="shared" si="33"/>
        <v>0</v>
      </c>
      <c r="AC332" s="123">
        <f t="shared" si="33"/>
        <v>0</v>
      </c>
      <c r="AD332" s="123">
        <f t="shared" si="33"/>
        <v>0</v>
      </c>
      <c r="AE332" s="123">
        <f t="shared" si="31"/>
        <v>0</v>
      </c>
      <c r="AF332" s="123">
        <f t="shared" si="31"/>
        <v>0</v>
      </c>
      <c r="AG332" s="123">
        <f t="shared" si="31"/>
        <v>0</v>
      </c>
      <c r="AH332" s="122">
        <f t="shared" si="16"/>
        <v>0</v>
      </c>
    </row>
    <row r="333" spans="1:34" s="86" customFormat="1" ht="15.75">
      <c r="A333" s="125">
        <v>59</v>
      </c>
      <c r="B333" s="286">
        <f>IFERROR(VLOOKUP(A333,Cargas!$B$3:$I$93,9,FALSE),0)</f>
        <v>0</v>
      </c>
      <c r="C333" s="127" t="s">
        <v>34</v>
      </c>
      <c r="D333" s="271">
        <f t="shared" si="32"/>
        <v>0</v>
      </c>
      <c r="E333" s="268">
        <f t="shared" si="27"/>
        <v>0</v>
      </c>
      <c r="F333" s="266"/>
      <c r="G333" s="266"/>
      <c r="H333" s="266">
        <f>IFERROR( VLOOKUP(A333,Descargas!$B$3:$I$94,3,FALSE),0)</f>
        <v>0</v>
      </c>
      <c r="I333" s="266">
        <f>IFERROR( VLOOKUP(A333,Descargas!$B$3:$I$94,4,FALSE),0)</f>
        <v>0</v>
      </c>
      <c r="J333" s="266">
        <f>IFERROR( VLOOKUP(A333,Descargas!$B$3:$I$94,5,FALSE),0)</f>
        <v>0</v>
      </c>
      <c r="K333" s="266">
        <f>IFERROR( VLOOKUP(A333,Descargas!$B$3:$I$94,6,FALSE),0)</f>
        <v>0</v>
      </c>
      <c r="L333" s="266">
        <f>IFERROR( VLOOKUP(A333,Descargas!$B$3:$I$94,7,FALSE),0)</f>
        <v>0</v>
      </c>
      <c r="AB333" s="123">
        <f t="shared" si="33"/>
        <v>0</v>
      </c>
      <c r="AC333" s="123">
        <f t="shared" si="33"/>
        <v>0</v>
      </c>
      <c r="AD333" s="123">
        <f t="shared" si="33"/>
        <v>0</v>
      </c>
      <c r="AE333" s="123">
        <f t="shared" si="31"/>
        <v>0</v>
      </c>
      <c r="AF333" s="123">
        <f t="shared" si="31"/>
        <v>0</v>
      </c>
      <c r="AG333" s="123">
        <f t="shared" si="31"/>
        <v>0</v>
      </c>
      <c r="AH333" s="122">
        <f t="shared" si="16"/>
        <v>0</v>
      </c>
    </row>
    <row r="334" spans="1:34" ht="15.75">
      <c r="A334" s="125">
        <v>60</v>
      </c>
      <c r="B334" s="286">
        <f>IFERROR(VLOOKUP(A334,Cargas!$B$3:$I$93,9,FALSE),0)</f>
        <v>0</v>
      </c>
      <c r="C334" s="127" t="s">
        <v>35</v>
      </c>
      <c r="D334" s="271">
        <f t="shared" si="32"/>
        <v>0</v>
      </c>
      <c r="E334" s="268">
        <f t="shared" si="27"/>
        <v>0</v>
      </c>
      <c r="F334" s="266"/>
      <c r="G334" s="266"/>
      <c r="H334" s="266">
        <f>IFERROR( VLOOKUP(A334,Descargas!$B$3:$I$94,3,FALSE),0)</f>
        <v>0</v>
      </c>
      <c r="I334" s="266">
        <f>IFERROR( VLOOKUP(A334,Descargas!$B$3:$I$94,4,FALSE),0)</f>
        <v>0</v>
      </c>
      <c r="J334" s="266">
        <f>IFERROR( VLOOKUP(A334,Descargas!$B$3:$I$94,5,FALSE),0)</f>
        <v>0</v>
      </c>
      <c r="K334" s="266">
        <f>IFERROR( VLOOKUP(A334,Descargas!$B$3:$I$94,6,FALSE),0)</f>
        <v>0</v>
      </c>
      <c r="L334" s="266">
        <f>IFERROR( VLOOKUP(A334,Descargas!$B$3:$I$94,7,FALSE),0)</f>
        <v>0</v>
      </c>
      <c r="AB334" s="123">
        <f t="shared" si="33"/>
        <v>0</v>
      </c>
      <c r="AC334" s="123">
        <f t="shared" si="33"/>
        <v>0</v>
      </c>
      <c r="AD334" s="123">
        <f t="shared" si="33"/>
        <v>0</v>
      </c>
      <c r="AE334" s="123">
        <f t="shared" si="31"/>
        <v>0</v>
      </c>
      <c r="AF334" s="123">
        <f t="shared" si="31"/>
        <v>0</v>
      </c>
      <c r="AG334" s="123">
        <f t="shared" si="31"/>
        <v>0</v>
      </c>
      <c r="AH334" s="122">
        <f t="shared" si="16"/>
        <v>0</v>
      </c>
    </row>
    <row r="335" spans="1:34" s="86" customFormat="1" ht="15.75">
      <c r="A335" s="125">
        <v>61</v>
      </c>
      <c r="B335" s="286">
        <f>IFERROR(VLOOKUP(A335,Cargas!$B$3:$I$93,9,FALSE),0)</f>
        <v>0</v>
      </c>
      <c r="C335" s="127" t="s">
        <v>155</v>
      </c>
      <c r="D335" s="271">
        <f t="shared" si="32"/>
        <v>0</v>
      </c>
      <c r="E335" s="268">
        <f t="shared" si="27"/>
        <v>0</v>
      </c>
      <c r="F335" s="263"/>
      <c r="G335" s="266"/>
      <c r="H335" s="266">
        <f>IFERROR( VLOOKUP(A335,Descargas!$B$3:$I$94,3,FALSE),0)</f>
        <v>0</v>
      </c>
      <c r="I335" s="266">
        <f>IFERROR( VLOOKUP(A335,Descargas!$B$3:$I$94,4,FALSE),0)</f>
        <v>0</v>
      </c>
      <c r="J335" s="266">
        <f>IFERROR( VLOOKUP(A335,Descargas!$B$3:$I$94,5,FALSE),0)</f>
        <v>0</v>
      </c>
      <c r="K335" s="266">
        <f>IFERROR( VLOOKUP(A335,Descargas!$B$3:$I$94,6,FALSE),0)</f>
        <v>0</v>
      </c>
      <c r="L335" s="266">
        <f>IFERROR( VLOOKUP(A335,Descargas!$B$3:$I$94,7,FALSE),0)</f>
        <v>0</v>
      </c>
      <c r="AB335" s="123">
        <f t="shared" si="33"/>
        <v>0</v>
      </c>
      <c r="AC335" s="123">
        <f t="shared" si="33"/>
        <v>0</v>
      </c>
      <c r="AD335" s="123">
        <f t="shared" si="33"/>
        <v>0</v>
      </c>
      <c r="AE335" s="123">
        <f t="shared" si="31"/>
        <v>0</v>
      </c>
      <c r="AF335" s="123">
        <f t="shared" si="31"/>
        <v>0</v>
      </c>
      <c r="AG335" s="123">
        <f t="shared" si="31"/>
        <v>0</v>
      </c>
      <c r="AH335" s="122">
        <f t="shared" ref="AH335:AH398" si="34">+SUM(AB335:AG335)</f>
        <v>0</v>
      </c>
    </row>
    <row r="336" spans="1:34" s="74" customFormat="1" ht="15.75">
      <c r="A336" s="125">
        <v>63</v>
      </c>
      <c r="B336" s="286">
        <f>IFERROR(VLOOKUP(A336,Cargas!$B$3:$I$93,9,FALSE),0)</f>
        <v>0</v>
      </c>
      <c r="C336" s="127" t="s">
        <v>36</v>
      </c>
      <c r="D336" s="271">
        <f t="shared" si="32"/>
        <v>0</v>
      </c>
      <c r="E336" s="268">
        <f t="shared" si="27"/>
        <v>0</v>
      </c>
      <c r="F336" s="266"/>
      <c r="G336" s="266"/>
      <c r="H336" s="266">
        <f>IFERROR( VLOOKUP(A336,Descargas!$B$3:$I$94,3,FALSE),0)</f>
        <v>0</v>
      </c>
      <c r="I336" s="266">
        <f>IFERROR( VLOOKUP(A336,Descargas!$B$3:$I$94,4,FALSE),0)</f>
        <v>0</v>
      </c>
      <c r="J336" s="266">
        <f>IFERROR( VLOOKUP(A336,Descargas!$B$3:$I$94,5,FALSE),0)</f>
        <v>0</v>
      </c>
      <c r="K336" s="266">
        <f>IFERROR( VLOOKUP(A336,Descargas!$B$3:$I$94,6,FALSE),0)</f>
        <v>0</v>
      </c>
      <c r="L336" s="266">
        <f>IFERROR( VLOOKUP(A336,Descargas!$B$3:$I$94,7,FALSE),0)</f>
        <v>0</v>
      </c>
      <c r="AB336" s="123">
        <f t="shared" si="33"/>
        <v>0</v>
      </c>
      <c r="AC336" s="123">
        <f t="shared" si="33"/>
        <v>0</v>
      </c>
      <c r="AD336" s="123">
        <f t="shared" si="33"/>
        <v>0</v>
      </c>
      <c r="AE336" s="123">
        <f t="shared" si="31"/>
        <v>0</v>
      </c>
      <c r="AF336" s="123">
        <f t="shared" si="31"/>
        <v>0</v>
      </c>
      <c r="AG336" s="123">
        <f t="shared" si="31"/>
        <v>0</v>
      </c>
      <c r="AH336" s="122">
        <f t="shared" si="34"/>
        <v>0</v>
      </c>
    </row>
    <row r="337" spans="1:34" s="86" customFormat="1" ht="15.75">
      <c r="A337" s="125">
        <v>64</v>
      </c>
      <c r="B337" s="286">
        <f>IFERROR(VLOOKUP(A337,Cargas!$B$3:$I$93,9,FALSE),0)</f>
        <v>0</v>
      </c>
      <c r="C337" s="127" t="s">
        <v>72</v>
      </c>
      <c r="D337" s="271">
        <f t="shared" si="32"/>
        <v>0</v>
      </c>
      <c r="E337" s="268">
        <f t="shared" si="27"/>
        <v>0</v>
      </c>
      <c r="F337" s="266"/>
      <c r="G337" s="266"/>
      <c r="H337" s="266">
        <f>IFERROR( VLOOKUP(A337,Descargas!$B$3:$I$94,3,FALSE),0)</f>
        <v>0</v>
      </c>
      <c r="I337" s="266">
        <f>IFERROR( VLOOKUP(A337,Descargas!$B$3:$I$94,4,FALSE),0)</f>
        <v>0</v>
      </c>
      <c r="J337" s="266">
        <f>IFERROR( VLOOKUP(A337,Descargas!$B$3:$I$94,5,FALSE),0)</f>
        <v>0</v>
      </c>
      <c r="K337" s="266">
        <f>IFERROR( VLOOKUP(A337,Descargas!$B$3:$I$94,6,FALSE),0)</f>
        <v>0</v>
      </c>
      <c r="L337" s="266">
        <f>IFERROR( VLOOKUP(A337,Descargas!$B$3:$I$94,7,FALSE),0)</f>
        <v>0</v>
      </c>
      <c r="AB337" s="123">
        <f t="shared" si="33"/>
        <v>0</v>
      </c>
      <c r="AC337" s="123">
        <f t="shared" si="33"/>
        <v>0</v>
      </c>
      <c r="AD337" s="123">
        <f t="shared" si="33"/>
        <v>0</v>
      </c>
      <c r="AE337" s="123">
        <f t="shared" si="31"/>
        <v>0</v>
      </c>
      <c r="AF337" s="123">
        <f t="shared" si="31"/>
        <v>0</v>
      </c>
      <c r="AG337" s="123">
        <f t="shared" si="31"/>
        <v>0</v>
      </c>
      <c r="AH337" s="122">
        <f t="shared" si="34"/>
        <v>0</v>
      </c>
    </row>
    <row r="338" spans="1:34" s="86" customFormat="1" ht="15.75">
      <c r="A338" s="125">
        <v>65</v>
      </c>
      <c r="B338" s="286">
        <f>IFERROR(VLOOKUP(A338,Cargas!$B$3:$I$93,9,FALSE),0)</f>
        <v>0</v>
      </c>
      <c r="C338" s="127" t="s">
        <v>260</v>
      </c>
      <c r="D338" s="271">
        <f t="shared" si="32"/>
        <v>0</v>
      </c>
      <c r="E338" s="268">
        <f t="shared" si="27"/>
        <v>0</v>
      </c>
      <c r="F338" s="266"/>
      <c r="G338" s="266"/>
      <c r="H338" s="266">
        <f>IFERROR( VLOOKUP(A338,Descargas!$B$3:$I$94,3,FALSE),0)</f>
        <v>0</v>
      </c>
      <c r="I338" s="266">
        <f>IFERROR( VLOOKUP(A338,Descargas!$B$3:$I$94,4,FALSE),0)</f>
        <v>0</v>
      </c>
      <c r="J338" s="266">
        <f>IFERROR( VLOOKUP(A338,Descargas!$B$3:$I$94,5,FALSE),0)</f>
        <v>0</v>
      </c>
      <c r="K338" s="266">
        <f>IFERROR( VLOOKUP(A338,Descargas!$B$3:$I$94,6,FALSE),0)</f>
        <v>0</v>
      </c>
      <c r="L338" s="266">
        <f>IFERROR( VLOOKUP(A338,Descargas!$B$3:$I$94,7,FALSE),0)</f>
        <v>0</v>
      </c>
      <c r="AB338" s="123">
        <f t="shared" si="33"/>
        <v>0</v>
      </c>
      <c r="AC338" s="123">
        <f t="shared" si="33"/>
        <v>0</v>
      </c>
      <c r="AD338" s="123">
        <f t="shared" si="33"/>
        <v>0</v>
      </c>
      <c r="AE338" s="123">
        <f t="shared" si="31"/>
        <v>0</v>
      </c>
      <c r="AF338" s="123">
        <f t="shared" si="31"/>
        <v>0</v>
      </c>
      <c r="AG338" s="123">
        <f t="shared" si="31"/>
        <v>0</v>
      </c>
      <c r="AH338" s="122">
        <f t="shared" si="34"/>
        <v>0</v>
      </c>
    </row>
    <row r="339" spans="1:34" s="86" customFormat="1" ht="15.75">
      <c r="A339" s="125">
        <v>66</v>
      </c>
      <c r="B339" s="286">
        <f>IFERROR(VLOOKUP(A339,Cargas!$B$3:$I$93,9,FALSE),0)</f>
        <v>0</v>
      </c>
      <c r="C339" s="127" t="s">
        <v>164</v>
      </c>
      <c r="D339" s="271">
        <f t="shared" si="32"/>
        <v>0</v>
      </c>
      <c r="E339" s="268">
        <f t="shared" si="27"/>
        <v>0</v>
      </c>
      <c r="F339" s="266"/>
      <c r="G339" s="266"/>
      <c r="H339" s="266">
        <f>IFERROR( VLOOKUP(A339,Descargas!$B$3:$I$94,3,FALSE),0)</f>
        <v>0</v>
      </c>
      <c r="I339" s="266">
        <f>IFERROR( VLOOKUP(A339,Descargas!$B$3:$I$94,4,FALSE),0)</f>
        <v>0</v>
      </c>
      <c r="J339" s="266">
        <f>IFERROR( VLOOKUP(A339,Descargas!$B$3:$I$94,5,FALSE),0)</f>
        <v>0</v>
      </c>
      <c r="K339" s="266">
        <f>IFERROR( VLOOKUP(A339,Descargas!$B$3:$I$94,6,FALSE),0)</f>
        <v>0</v>
      </c>
      <c r="L339" s="266">
        <f>IFERROR( VLOOKUP(A339,Descargas!$B$3:$I$94,7,FALSE),0)</f>
        <v>0</v>
      </c>
      <c r="AB339" s="123">
        <f t="shared" si="33"/>
        <v>0</v>
      </c>
      <c r="AC339" s="123">
        <f t="shared" si="33"/>
        <v>0</v>
      </c>
      <c r="AD339" s="123">
        <f t="shared" si="33"/>
        <v>0</v>
      </c>
      <c r="AE339" s="123">
        <f t="shared" si="31"/>
        <v>0</v>
      </c>
      <c r="AF339" s="123">
        <f t="shared" si="31"/>
        <v>0</v>
      </c>
      <c r="AG339" s="123">
        <f t="shared" si="31"/>
        <v>0</v>
      </c>
      <c r="AH339" s="122">
        <f t="shared" si="34"/>
        <v>0</v>
      </c>
    </row>
    <row r="340" spans="1:34" ht="15.75">
      <c r="A340" s="125">
        <v>67</v>
      </c>
      <c r="B340" s="286">
        <f>IFERROR(VLOOKUP(A340,Cargas!$B$3:$I$93,9,FALSE),0)</f>
        <v>0</v>
      </c>
      <c r="C340" s="127" t="s">
        <v>37</v>
      </c>
      <c r="D340" s="271">
        <f t="shared" si="32"/>
        <v>0</v>
      </c>
      <c r="E340" s="268">
        <f t="shared" si="27"/>
        <v>0</v>
      </c>
      <c r="F340" s="266"/>
      <c r="G340" s="266"/>
      <c r="H340" s="266">
        <f>IFERROR( VLOOKUP(A340,Descargas!$B$3:$I$94,3,FALSE),0)</f>
        <v>0</v>
      </c>
      <c r="I340" s="266">
        <f>IFERROR( VLOOKUP(A340,Descargas!$B$3:$I$94,4,FALSE),0)</f>
        <v>0</v>
      </c>
      <c r="J340" s="266">
        <f>IFERROR( VLOOKUP(A340,Descargas!$B$3:$I$94,5,FALSE),0)</f>
        <v>0</v>
      </c>
      <c r="K340" s="266">
        <f>IFERROR( VLOOKUP(A340,Descargas!$B$3:$I$94,6,FALSE),0)</f>
        <v>0</v>
      </c>
      <c r="L340" s="266">
        <f>IFERROR( VLOOKUP(A340,Descargas!$B$3:$I$94,7,FALSE),0)</f>
        <v>0</v>
      </c>
      <c r="AB340" s="123">
        <f t="shared" si="33"/>
        <v>0</v>
      </c>
      <c r="AC340" s="123">
        <f t="shared" si="33"/>
        <v>0</v>
      </c>
      <c r="AD340" s="123">
        <f t="shared" si="33"/>
        <v>0</v>
      </c>
      <c r="AE340" s="123">
        <f t="shared" si="31"/>
        <v>0</v>
      </c>
      <c r="AF340" s="123">
        <f t="shared" si="31"/>
        <v>0</v>
      </c>
      <c r="AG340" s="123">
        <f t="shared" si="31"/>
        <v>0</v>
      </c>
      <c r="AH340" s="122">
        <f t="shared" si="34"/>
        <v>0</v>
      </c>
    </row>
    <row r="341" spans="1:34" s="86" customFormat="1" ht="15.75">
      <c r="A341" s="125">
        <v>69</v>
      </c>
      <c r="B341" s="286">
        <f>IFERROR(VLOOKUP(A341,Cargas!$B$3:$I$93,9,FALSE),0)</f>
        <v>0</v>
      </c>
      <c r="C341" s="127" t="s">
        <v>165</v>
      </c>
      <c r="D341" s="271">
        <f t="shared" si="32"/>
        <v>0</v>
      </c>
      <c r="E341" s="268">
        <f t="shared" si="27"/>
        <v>0</v>
      </c>
      <c r="F341" s="266"/>
      <c r="G341" s="266"/>
      <c r="H341" s="266">
        <f>IFERROR( VLOOKUP(A341,Descargas!$B$3:$I$94,3,FALSE),0)</f>
        <v>0</v>
      </c>
      <c r="I341" s="266">
        <f>IFERROR( VLOOKUP(A341,Descargas!$B$3:$I$94,4,FALSE),0)</f>
        <v>0</v>
      </c>
      <c r="J341" s="266">
        <f>IFERROR( VLOOKUP(A341,Descargas!$B$3:$I$94,5,FALSE),0)</f>
        <v>0</v>
      </c>
      <c r="K341" s="266">
        <f>IFERROR( VLOOKUP(A341,Descargas!$B$3:$I$94,6,FALSE),0)</f>
        <v>0</v>
      </c>
      <c r="L341" s="266">
        <f>IFERROR( VLOOKUP(A341,Descargas!$B$3:$I$94,7,FALSE),0)</f>
        <v>0</v>
      </c>
      <c r="AB341" s="123">
        <f t="shared" si="33"/>
        <v>0</v>
      </c>
      <c r="AC341" s="123">
        <f t="shared" si="33"/>
        <v>0</v>
      </c>
      <c r="AD341" s="123">
        <f t="shared" si="33"/>
        <v>0</v>
      </c>
      <c r="AE341" s="123">
        <f t="shared" si="31"/>
        <v>0</v>
      </c>
      <c r="AF341" s="123">
        <f t="shared" si="31"/>
        <v>0</v>
      </c>
      <c r="AG341" s="123">
        <f t="shared" si="31"/>
        <v>0</v>
      </c>
      <c r="AH341" s="122">
        <f t="shared" si="34"/>
        <v>0</v>
      </c>
    </row>
    <row r="342" spans="1:34" ht="15.75">
      <c r="A342" s="125">
        <v>70</v>
      </c>
      <c r="B342" s="286">
        <f>IFERROR(VLOOKUP(A342,Cargas!$B$3:$I$93,9,FALSE),0)</f>
        <v>0</v>
      </c>
      <c r="C342" s="127" t="s">
        <v>108</v>
      </c>
      <c r="D342" s="271">
        <f t="shared" si="32"/>
        <v>0</v>
      </c>
      <c r="E342" s="268">
        <f t="shared" si="27"/>
        <v>0</v>
      </c>
      <c r="F342" s="266"/>
      <c r="G342" s="266"/>
      <c r="H342" s="266">
        <f>IFERROR( VLOOKUP(A342,Descargas!$B$3:$I$94,3,FALSE),0)</f>
        <v>0</v>
      </c>
      <c r="I342" s="266">
        <f>IFERROR( VLOOKUP(A342,Descargas!$B$3:$I$94,4,FALSE),0)</f>
        <v>0</v>
      </c>
      <c r="J342" s="266">
        <f>IFERROR( VLOOKUP(A342,Descargas!$B$3:$I$94,5,FALSE),0)</f>
        <v>0</v>
      </c>
      <c r="K342" s="266">
        <f>IFERROR( VLOOKUP(A342,Descargas!$B$3:$I$94,6,FALSE),0)</f>
        <v>0</v>
      </c>
      <c r="L342" s="266">
        <f>IFERROR( VLOOKUP(A342,Descargas!$B$3:$I$94,7,FALSE),0)</f>
        <v>0</v>
      </c>
      <c r="AB342" s="123">
        <f t="shared" si="33"/>
        <v>0</v>
      </c>
      <c r="AC342" s="123">
        <f t="shared" si="33"/>
        <v>0</v>
      </c>
      <c r="AD342" s="123">
        <f t="shared" si="33"/>
        <v>0</v>
      </c>
      <c r="AE342" s="123">
        <f t="shared" si="31"/>
        <v>0</v>
      </c>
      <c r="AF342" s="123">
        <f t="shared" si="31"/>
        <v>0</v>
      </c>
      <c r="AG342" s="123">
        <f t="shared" si="31"/>
        <v>0</v>
      </c>
      <c r="AH342" s="122">
        <f t="shared" si="34"/>
        <v>0</v>
      </c>
    </row>
    <row r="343" spans="1:34" s="86" customFormat="1" ht="15.75">
      <c r="A343" s="125">
        <v>71</v>
      </c>
      <c r="B343" s="286">
        <f>IFERROR(VLOOKUP(A343,Cargas!$B$3:$I$93,9,FALSE),0)</f>
        <v>0</v>
      </c>
      <c r="C343" s="127" t="s">
        <v>38</v>
      </c>
      <c r="D343" s="271">
        <f t="shared" si="32"/>
        <v>0</v>
      </c>
      <c r="E343" s="268">
        <f t="shared" si="27"/>
        <v>0</v>
      </c>
      <c r="F343" s="266"/>
      <c r="G343" s="266"/>
      <c r="H343" s="266">
        <f>IFERROR( VLOOKUP(A343,Descargas!$B$3:$I$94,3,FALSE),0)</f>
        <v>0</v>
      </c>
      <c r="I343" s="266">
        <f>IFERROR( VLOOKUP(A343,Descargas!$B$3:$I$94,4,FALSE),0)</f>
        <v>0</v>
      </c>
      <c r="J343" s="266">
        <f>IFERROR( VLOOKUP(A343,Descargas!$B$3:$I$94,5,FALSE),0)</f>
        <v>0</v>
      </c>
      <c r="K343" s="266">
        <f>IFERROR( VLOOKUP(A343,Descargas!$B$3:$I$94,6,FALSE),0)</f>
        <v>0</v>
      </c>
      <c r="L343" s="266">
        <f>IFERROR( VLOOKUP(A343,Descargas!$B$3:$I$94,7,FALSE),0)</f>
        <v>0</v>
      </c>
      <c r="AB343" s="123">
        <f t="shared" si="33"/>
        <v>0</v>
      </c>
      <c r="AC343" s="123">
        <f t="shared" si="33"/>
        <v>0</v>
      </c>
      <c r="AD343" s="123">
        <f t="shared" si="33"/>
        <v>0</v>
      </c>
      <c r="AE343" s="123">
        <f t="shared" si="31"/>
        <v>0</v>
      </c>
      <c r="AF343" s="123">
        <f t="shared" si="31"/>
        <v>0</v>
      </c>
      <c r="AG343" s="123">
        <f t="shared" si="31"/>
        <v>0</v>
      </c>
      <c r="AH343" s="122">
        <f t="shared" si="34"/>
        <v>0</v>
      </c>
    </row>
    <row r="344" spans="1:34" ht="15.75">
      <c r="A344" s="125">
        <v>72</v>
      </c>
      <c r="B344" s="286">
        <f>IFERROR(VLOOKUP(A344,Cargas!$B$3:$I$93,9,FALSE),0)</f>
        <v>0</v>
      </c>
      <c r="C344" s="127" t="s">
        <v>166</v>
      </c>
      <c r="D344" s="271">
        <f t="shared" si="32"/>
        <v>0</v>
      </c>
      <c r="E344" s="268">
        <f t="shared" si="27"/>
        <v>0</v>
      </c>
      <c r="F344" s="268">
        <f>+SUM(I344:M344)</f>
        <v>0</v>
      </c>
      <c r="G344" s="268">
        <f>+SUM(J344:N344)</f>
        <v>0</v>
      </c>
      <c r="H344" s="266">
        <f>IFERROR( VLOOKUP(A344,Descargas!$B$3:$I$94,3,FALSE),0)</f>
        <v>0</v>
      </c>
      <c r="I344" s="266">
        <f>IFERROR( VLOOKUP(A344,Descargas!$B$3:$I$94,4,FALSE),0)</f>
        <v>0</v>
      </c>
      <c r="J344" s="266">
        <f>IFERROR( VLOOKUP(A344,Descargas!$B$3:$I$94,5,FALSE),0)</f>
        <v>0</v>
      </c>
      <c r="K344" s="266">
        <f>IFERROR( VLOOKUP(A344,Descargas!$B$3:$I$94,6,FALSE),0)</f>
        <v>0</v>
      </c>
      <c r="L344" s="266">
        <f>IFERROR( VLOOKUP(A344,Descargas!$B$3:$I$94,7,FALSE),0)</f>
        <v>0</v>
      </c>
      <c r="AB344" s="123">
        <f t="shared" si="33"/>
        <v>0</v>
      </c>
      <c r="AC344" s="123">
        <f t="shared" si="33"/>
        <v>0</v>
      </c>
      <c r="AD344" s="123">
        <f t="shared" si="33"/>
        <v>0</v>
      </c>
      <c r="AE344" s="123">
        <f t="shared" si="31"/>
        <v>0</v>
      </c>
      <c r="AF344" s="123">
        <f t="shared" si="31"/>
        <v>0</v>
      </c>
      <c r="AG344" s="123">
        <f t="shared" si="31"/>
        <v>0</v>
      </c>
      <c r="AH344" s="122">
        <f t="shared" si="34"/>
        <v>0</v>
      </c>
    </row>
    <row r="345" spans="1:34" s="86" customFormat="1" ht="15.75">
      <c r="A345" s="125">
        <v>73</v>
      </c>
      <c r="B345" s="286">
        <f>IFERROR(VLOOKUP(A345,Cargas!$B$3:$I$93,9,FALSE),0)</f>
        <v>0</v>
      </c>
      <c r="C345" s="127" t="s">
        <v>167</v>
      </c>
      <c r="D345" s="271">
        <f t="shared" si="32"/>
        <v>0</v>
      </c>
      <c r="E345" s="268">
        <f t="shared" si="27"/>
        <v>0</v>
      </c>
      <c r="F345" s="266"/>
      <c r="G345" s="266"/>
      <c r="H345" s="266">
        <f>IFERROR( VLOOKUP(A345,Descargas!$B$3:$I$94,3,FALSE),0)</f>
        <v>0</v>
      </c>
      <c r="I345" s="266">
        <f>IFERROR( VLOOKUP(A345,Descargas!$B$3:$I$94,4,FALSE),0)</f>
        <v>0</v>
      </c>
      <c r="J345" s="266">
        <f>IFERROR( VLOOKUP(A345,Descargas!$B$3:$I$94,5,FALSE),0)</f>
        <v>0</v>
      </c>
      <c r="K345" s="266">
        <f>IFERROR( VLOOKUP(A345,Descargas!$B$3:$I$94,6,FALSE),0)</f>
        <v>0</v>
      </c>
      <c r="L345" s="266">
        <f>IFERROR( VLOOKUP(A345,Descargas!$B$3:$I$94,7,FALSE),0)</f>
        <v>0</v>
      </c>
      <c r="AB345" s="123">
        <f t="shared" si="33"/>
        <v>0</v>
      </c>
      <c r="AC345" s="123">
        <f t="shared" si="33"/>
        <v>0</v>
      </c>
      <c r="AD345" s="123">
        <f t="shared" si="33"/>
        <v>0</v>
      </c>
      <c r="AE345" s="123">
        <f t="shared" si="31"/>
        <v>0</v>
      </c>
      <c r="AF345" s="123">
        <f t="shared" si="31"/>
        <v>0</v>
      </c>
      <c r="AG345" s="123">
        <f t="shared" si="31"/>
        <v>0</v>
      </c>
      <c r="AH345" s="122">
        <f t="shared" si="34"/>
        <v>0</v>
      </c>
    </row>
    <row r="346" spans="1:34" s="86" customFormat="1" ht="15.75">
      <c r="A346" s="125">
        <v>74</v>
      </c>
      <c r="B346" s="286">
        <f>IFERROR(VLOOKUP(A346,Cargas!$B$3:$I$93,9,FALSE),0)</f>
        <v>0</v>
      </c>
      <c r="C346" s="127" t="s">
        <v>153</v>
      </c>
      <c r="D346" s="271">
        <f t="shared" si="32"/>
        <v>0</v>
      </c>
      <c r="E346" s="268">
        <f t="shared" ref="E346:E404" si="35">+SUM(H346:L346)</f>
        <v>0</v>
      </c>
      <c r="F346" s="266"/>
      <c r="G346" s="266"/>
      <c r="H346" s="266">
        <f>IFERROR( VLOOKUP(A346,Descargas!$B$3:$I$94,3,FALSE),0)</f>
        <v>0</v>
      </c>
      <c r="I346" s="266">
        <f>IFERROR( VLOOKUP(A346,Descargas!$B$3:$I$94,4,FALSE),0)</f>
        <v>0</v>
      </c>
      <c r="J346" s="266">
        <f>IFERROR( VLOOKUP(A346,Descargas!$B$3:$I$94,5,FALSE),0)</f>
        <v>0</v>
      </c>
      <c r="K346" s="266">
        <f>IFERROR( VLOOKUP(A346,Descargas!$B$3:$I$94,6,FALSE),0)</f>
        <v>0</v>
      </c>
      <c r="L346" s="266">
        <f>IFERROR( VLOOKUP(A346,Descargas!$B$3:$I$94,7,FALSE),0)</f>
        <v>0</v>
      </c>
      <c r="AB346" s="123">
        <f t="shared" si="33"/>
        <v>0</v>
      </c>
      <c r="AC346" s="123">
        <f t="shared" si="33"/>
        <v>0</v>
      </c>
      <c r="AD346" s="123">
        <f t="shared" si="33"/>
        <v>0</v>
      </c>
      <c r="AE346" s="123">
        <f t="shared" si="31"/>
        <v>0</v>
      </c>
      <c r="AF346" s="123">
        <f t="shared" si="31"/>
        <v>0</v>
      </c>
      <c r="AG346" s="123">
        <f t="shared" si="31"/>
        <v>0</v>
      </c>
      <c r="AH346" s="122">
        <f t="shared" si="34"/>
        <v>0</v>
      </c>
    </row>
    <row r="347" spans="1:34" ht="15.75">
      <c r="A347" s="125">
        <v>75</v>
      </c>
      <c r="B347" s="286">
        <f>IFERROR(VLOOKUP(A347,Cargas!$B$3:$I$93,9,FALSE),0)</f>
        <v>0</v>
      </c>
      <c r="C347" s="127" t="s">
        <v>168</v>
      </c>
      <c r="D347" s="271">
        <f t="shared" si="32"/>
        <v>0</v>
      </c>
      <c r="E347" s="268">
        <f t="shared" si="35"/>
        <v>0</v>
      </c>
      <c r="F347" s="266"/>
      <c r="G347" s="266"/>
      <c r="H347" s="266">
        <f>IFERROR( VLOOKUP(A347,Descargas!$B$3:$I$94,3,FALSE),0)</f>
        <v>0</v>
      </c>
      <c r="I347" s="266">
        <f>IFERROR( VLOOKUP(A347,Descargas!$B$3:$I$94,4,FALSE),0)</f>
        <v>0</v>
      </c>
      <c r="J347" s="266">
        <f>IFERROR( VLOOKUP(A347,Descargas!$B$3:$I$94,5,FALSE),0)</f>
        <v>0</v>
      </c>
      <c r="K347" s="266">
        <f>IFERROR( VLOOKUP(A347,Descargas!$B$3:$I$94,6,FALSE),0)</f>
        <v>0</v>
      </c>
      <c r="L347" s="266">
        <f>IFERROR( VLOOKUP(A347,Descargas!$B$3:$I$94,7,FALSE),0)</f>
        <v>0</v>
      </c>
      <c r="AB347" s="123">
        <f t="shared" si="33"/>
        <v>0</v>
      </c>
      <c r="AC347" s="123">
        <f t="shared" si="33"/>
        <v>0</v>
      </c>
      <c r="AD347" s="123">
        <f t="shared" si="33"/>
        <v>0</v>
      </c>
      <c r="AE347" s="123">
        <f t="shared" si="31"/>
        <v>0</v>
      </c>
      <c r="AF347" s="123">
        <f t="shared" si="31"/>
        <v>0</v>
      </c>
      <c r="AG347" s="123">
        <f t="shared" si="31"/>
        <v>0</v>
      </c>
      <c r="AH347" s="122">
        <f t="shared" si="34"/>
        <v>0</v>
      </c>
    </row>
    <row r="348" spans="1:34" s="86" customFormat="1" ht="15.75">
      <c r="A348" s="125">
        <v>76</v>
      </c>
      <c r="B348" s="286">
        <f>IFERROR(VLOOKUP(A348,Cargas!$B$3:$I$93,9,FALSE),0)</f>
        <v>0</v>
      </c>
      <c r="C348" s="127" t="s">
        <v>44</v>
      </c>
      <c r="D348" s="271">
        <f t="shared" si="32"/>
        <v>0</v>
      </c>
      <c r="E348" s="268">
        <f>+SUM(H348:L348)</f>
        <v>0</v>
      </c>
      <c r="F348" s="266"/>
      <c r="G348" s="266"/>
      <c r="H348" s="266">
        <f>IFERROR( VLOOKUP(A348,Descargas!$B$3:$I$94,3,FALSE),0)</f>
        <v>0</v>
      </c>
      <c r="I348" s="266">
        <f>IFERROR( VLOOKUP(A348,Descargas!$B$3:$I$94,4,FALSE),0)</f>
        <v>0</v>
      </c>
      <c r="J348" s="266">
        <f>IFERROR( VLOOKUP(A348,Descargas!$B$3:$I$94,5,FALSE),0)</f>
        <v>0</v>
      </c>
      <c r="K348" s="266">
        <f>IFERROR( VLOOKUP(A348,Descargas!$B$3:$I$94,6,FALSE),0)</f>
        <v>0</v>
      </c>
      <c r="L348" s="266">
        <f>IFERROR( VLOOKUP(A348,Descargas!$B$3:$I$94,7,FALSE),0)</f>
        <v>0</v>
      </c>
      <c r="AB348" s="123">
        <f t="shared" si="33"/>
        <v>0</v>
      </c>
      <c r="AC348" s="123">
        <f t="shared" si="33"/>
        <v>0</v>
      </c>
      <c r="AD348" s="123">
        <f t="shared" si="33"/>
        <v>0</v>
      </c>
      <c r="AE348" s="123">
        <f t="shared" si="31"/>
        <v>0</v>
      </c>
      <c r="AF348" s="123">
        <f t="shared" si="31"/>
        <v>0</v>
      </c>
      <c r="AG348" s="123">
        <f t="shared" si="31"/>
        <v>0</v>
      </c>
      <c r="AH348" s="122">
        <f t="shared" si="34"/>
        <v>0</v>
      </c>
    </row>
    <row r="349" spans="1:34" ht="15.75">
      <c r="A349" s="125">
        <v>77</v>
      </c>
      <c r="B349" s="286">
        <f>IFERROR(VLOOKUP(A349,Cargas!$B$3:$I$93,9,FALSE),0)</f>
        <v>0</v>
      </c>
      <c r="C349" s="127" t="s">
        <v>134</v>
      </c>
      <c r="D349" s="271">
        <f t="shared" si="32"/>
        <v>0</v>
      </c>
      <c r="E349" s="268">
        <f t="shared" si="35"/>
        <v>0</v>
      </c>
      <c r="F349" s="266"/>
      <c r="G349" s="266"/>
      <c r="H349" s="266">
        <f>IFERROR( VLOOKUP(A349,Descargas!$B$3:$I$94,3,FALSE),0)</f>
        <v>0</v>
      </c>
      <c r="I349" s="266">
        <f>IFERROR( VLOOKUP(A349,Descargas!$B$3:$I$94,4,FALSE),0)</f>
        <v>0</v>
      </c>
      <c r="J349" s="266">
        <f>IFERROR( VLOOKUP(A349,Descargas!$B$3:$I$94,5,FALSE),0)</f>
        <v>0</v>
      </c>
      <c r="K349" s="266">
        <f>IFERROR( VLOOKUP(A349,Descargas!$B$3:$I$94,6,FALSE),0)</f>
        <v>0</v>
      </c>
      <c r="L349" s="266">
        <f>IFERROR( VLOOKUP(A349,Descargas!$B$3:$I$94,7,FALSE),0)</f>
        <v>0</v>
      </c>
      <c r="AB349" s="123">
        <f t="shared" si="33"/>
        <v>0</v>
      </c>
      <c r="AC349" s="123">
        <f t="shared" si="33"/>
        <v>0</v>
      </c>
      <c r="AD349" s="123">
        <f t="shared" si="33"/>
        <v>0</v>
      </c>
      <c r="AE349" s="123">
        <f t="shared" si="31"/>
        <v>0</v>
      </c>
      <c r="AF349" s="123">
        <f t="shared" si="31"/>
        <v>0</v>
      </c>
      <c r="AG349" s="123">
        <f t="shared" si="31"/>
        <v>0</v>
      </c>
      <c r="AH349" s="122">
        <f t="shared" si="34"/>
        <v>0</v>
      </c>
    </row>
    <row r="350" spans="1:34" s="86" customFormat="1" ht="15.75">
      <c r="A350" s="125">
        <v>78</v>
      </c>
      <c r="B350" s="286">
        <f>IFERROR(VLOOKUP(A350,Cargas!$B$3:$I$93,9,FALSE),0)</f>
        <v>0</v>
      </c>
      <c r="C350" s="127" t="s">
        <v>230</v>
      </c>
      <c r="D350" s="271">
        <f t="shared" si="32"/>
        <v>0</v>
      </c>
      <c r="E350" s="268">
        <f>+SUM(H350:L350)</f>
        <v>0</v>
      </c>
      <c r="F350" s="266"/>
      <c r="G350" s="266"/>
      <c r="H350" s="266">
        <f>IFERROR( VLOOKUP(A350,Descargas!$B$3:$I$94,3,FALSE),0)</f>
        <v>0</v>
      </c>
      <c r="I350" s="266">
        <f>IFERROR( VLOOKUP(A350,Descargas!$B$3:$I$94,4,FALSE),0)</f>
        <v>0</v>
      </c>
      <c r="J350" s="266">
        <f>IFERROR( VLOOKUP(A350,Descargas!$B$3:$I$94,5,FALSE),0)</f>
        <v>0</v>
      </c>
      <c r="K350" s="266">
        <f>IFERROR( VLOOKUP(A350,Descargas!$B$3:$I$94,6,FALSE),0)</f>
        <v>0</v>
      </c>
      <c r="L350" s="266">
        <f>IFERROR( VLOOKUP(A350,Descargas!$B$3:$I$94,7,FALSE),0)</f>
        <v>0</v>
      </c>
      <c r="AB350" s="123">
        <f t="shared" si="33"/>
        <v>0</v>
      </c>
      <c r="AC350" s="123">
        <f t="shared" si="33"/>
        <v>0</v>
      </c>
      <c r="AD350" s="123">
        <f t="shared" si="33"/>
        <v>0</v>
      </c>
      <c r="AE350" s="123">
        <f t="shared" si="31"/>
        <v>0</v>
      </c>
      <c r="AF350" s="123">
        <f t="shared" si="31"/>
        <v>0</v>
      </c>
      <c r="AG350" s="123">
        <f t="shared" si="31"/>
        <v>0</v>
      </c>
      <c r="AH350" s="122">
        <f t="shared" si="34"/>
        <v>0</v>
      </c>
    </row>
    <row r="351" spans="1:34" s="86" customFormat="1" ht="15.75">
      <c r="A351" s="125">
        <v>79</v>
      </c>
      <c r="B351" s="286">
        <f>IFERROR(VLOOKUP(A351,Cargas!$B$3:$I$93,9,FALSE),0)</f>
        <v>0</v>
      </c>
      <c r="C351" s="127" t="s">
        <v>231</v>
      </c>
      <c r="D351" s="271">
        <f t="shared" si="32"/>
        <v>0</v>
      </c>
      <c r="E351" s="268">
        <f t="shared" si="35"/>
        <v>0</v>
      </c>
      <c r="F351" s="266"/>
      <c r="G351" s="266"/>
      <c r="H351" s="266">
        <f>IFERROR( VLOOKUP(A351,Descargas!$B$3:$I$94,3,FALSE),0)</f>
        <v>0</v>
      </c>
      <c r="I351" s="266">
        <f>IFERROR( VLOOKUP(A351,Descargas!$B$3:$I$94,4,FALSE),0)</f>
        <v>0</v>
      </c>
      <c r="J351" s="266">
        <f>IFERROR( VLOOKUP(A351,Descargas!$B$3:$I$94,5,FALSE),0)</f>
        <v>0</v>
      </c>
      <c r="K351" s="266">
        <f>IFERROR( VLOOKUP(A351,Descargas!$B$3:$I$94,6,FALSE),0)</f>
        <v>0</v>
      </c>
      <c r="L351" s="266">
        <f>IFERROR( VLOOKUP(A351,Descargas!$B$3:$I$94,7,FALSE),0)</f>
        <v>0</v>
      </c>
      <c r="AB351" s="123">
        <f t="shared" si="33"/>
        <v>0</v>
      </c>
      <c r="AC351" s="123">
        <f t="shared" si="33"/>
        <v>0</v>
      </c>
      <c r="AD351" s="123">
        <f t="shared" si="33"/>
        <v>0</v>
      </c>
      <c r="AE351" s="123">
        <f t="shared" si="31"/>
        <v>0</v>
      </c>
      <c r="AF351" s="123">
        <f t="shared" si="31"/>
        <v>0</v>
      </c>
      <c r="AG351" s="123">
        <f t="shared" si="31"/>
        <v>0</v>
      </c>
      <c r="AH351" s="122">
        <f t="shared" si="34"/>
        <v>0</v>
      </c>
    </row>
    <row r="352" spans="1:34" ht="15.75">
      <c r="A352" s="125">
        <v>80</v>
      </c>
      <c r="B352" s="286">
        <f>IFERROR(VLOOKUP(A352,Cargas!$B$3:$I$93,9,FALSE),0)</f>
        <v>0</v>
      </c>
      <c r="C352" s="127" t="s">
        <v>39</v>
      </c>
      <c r="D352" s="271">
        <f t="shared" si="32"/>
        <v>0</v>
      </c>
      <c r="E352" s="268">
        <f t="shared" si="35"/>
        <v>0</v>
      </c>
      <c r="F352" s="266"/>
      <c r="G352" s="266"/>
      <c r="H352" s="266">
        <f>IFERROR( VLOOKUP(A352,Descargas!$B$3:$I$94,3,FALSE),0)</f>
        <v>0</v>
      </c>
      <c r="I352" s="266">
        <f>IFERROR( VLOOKUP(A352,Descargas!$B$3:$I$94,4,FALSE),0)</f>
        <v>0</v>
      </c>
      <c r="J352" s="266">
        <f>IFERROR( VLOOKUP(A352,Descargas!$B$3:$I$94,5,FALSE),0)</f>
        <v>0</v>
      </c>
      <c r="K352" s="266">
        <f>IFERROR( VLOOKUP(A352,Descargas!$B$3:$I$94,6,FALSE),0)</f>
        <v>0</v>
      </c>
      <c r="L352" s="266">
        <f>IFERROR( VLOOKUP(A352,Descargas!$B$3:$I$94,7,FALSE),0)</f>
        <v>0</v>
      </c>
      <c r="AB352" s="123">
        <f t="shared" si="33"/>
        <v>0</v>
      </c>
      <c r="AC352" s="123">
        <f t="shared" si="33"/>
        <v>0</v>
      </c>
      <c r="AD352" s="123">
        <f t="shared" si="33"/>
        <v>0</v>
      </c>
      <c r="AE352" s="123">
        <f t="shared" si="31"/>
        <v>0</v>
      </c>
      <c r="AF352" s="123">
        <f t="shared" si="31"/>
        <v>0</v>
      </c>
      <c r="AG352" s="123">
        <f t="shared" si="31"/>
        <v>0</v>
      </c>
      <c r="AH352" s="122">
        <f t="shared" si="34"/>
        <v>0</v>
      </c>
    </row>
    <row r="353" spans="1:34" s="86" customFormat="1" ht="15.75">
      <c r="A353" s="125">
        <v>81</v>
      </c>
      <c r="B353" s="286">
        <f>IFERROR(VLOOKUP(A353,Cargas!$B$3:$I$93,9,FALSE),0)</f>
        <v>0</v>
      </c>
      <c r="C353" s="127" t="s">
        <v>169</v>
      </c>
      <c r="D353" s="271">
        <f t="shared" si="32"/>
        <v>0</v>
      </c>
      <c r="E353" s="268">
        <f t="shared" si="35"/>
        <v>0</v>
      </c>
      <c r="F353" s="263"/>
      <c r="G353" s="266"/>
      <c r="H353" s="266">
        <f>IFERROR( VLOOKUP(A353,Descargas!$B$3:$I$94,3,FALSE),0)</f>
        <v>0</v>
      </c>
      <c r="I353" s="266">
        <f>IFERROR( VLOOKUP(A353,Descargas!$B$3:$I$94,4,FALSE),0)</f>
        <v>0</v>
      </c>
      <c r="J353" s="266">
        <f>IFERROR( VLOOKUP(A353,Descargas!$B$3:$I$94,5,FALSE),0)</f>
        <v>0</v>
      </c>
      <c r="K353" s="266">
        <f>IFERROR( VLOOKUP(A353,Descargas!$B$3:$I$94,6,FALSE),0)</f>
        <v>0</v>
      </c>
      <c r="L353" s="266">
        <f>IFERROR( VLOOKUP(A353,Descargas!$B$3:$I$94,7,FALSE),0)</f>
        <v>0</v>
      </c>
      <c r="AB353" s="123">
        <f t="shared" si="33"/>
        <v>0</v>
      </c>
      <c r="AC353" s="123">
        <f t="shared" si="33"/>
        <v>0</v>
      </c>
      <c r="AD353" s="123">
        <f t="shared" si="33"/>
        <v>0</v>
      </c>
      <c r="AE353" s="123">
        <f t="shared" si="31"/>
        <v>0</v>
      </c>
      <c r="AF353" s="123">
        <f t="shared" si="31"/>
        <v>0</v>
      </c>
      <c r="AG353" s="123">
        <f t="shared" si="31"/>
        <v>0</v>
      </c>
      <c r="AH353" s="122">
        <f t="shared" si="34"/>
        <v>0</v>
      </c>
    </row>
    <row r="354" spans="1:34" ht="15.75">
      <c r="A354" s="125">
        <v>82</v>
      </c>
      <c r="B354" s="286">
        <f>IFERROR(VLOOKUP(A354,Cargas!$B$3:$I$93,9,FALSE),0)</f>
        <v>0</v>
      </c>
      <c r="C354" s="127" t="s">
        <v>40</v>
      </c>
      <c r="D354" s="271">
        <f t="shared" si="32"/>
        <v>0</v>
      </c>
      <c r="E354" s="268">
        <f>+SUM(H354:L354)</f>
        <v>0</v>
      </c>
      <c r="F354" s="266"/>
      <c r="G354" s="266"/>
      <c r="H354" s="266">
        <f>IFERROR( VLOOKUP(A354,Descargas!$B$3:$I$94,3,FALSE),0)</f>
        <v>0</v>
      </c>
      <c r="I354" s="266">
        <f>IFERROR( VLOOKUP(A354,Descargas!$B$3:$I$94,4,FALSE),0)</f>
        <v>0</v>
      </c>
      <c r="J354" s="266">
        <f>IFERROR( VLOOKUP(A354,Descargas!$B$3:$I$94,5,FALSE),0)</f>
        <v>0</v>
      </c>
      <c r="K354" s="266">
        <f>IFERROR( VLOOKUP(A354,Descargas!$B$3:$I$94,6,FALSE),0)</f>
        <v>0</v>
      </c>
      <c r="L354" s="266">
        <f>IFERROR( VLOOKUP(A354,Descargas!$B$3:$I$94,7,FALSE),0)</f>
        <v>0</v>
      </c>
      <c r="AB354" s="123">
        <f t="shared" si="33"/>
        <v>0</v>
      </c>
      <c r="AC354" s="123">
        <f t="shared" si="33"/>
        <v>0</v>
      </c>
      <c r="AD354" s="123">
        <f t="shared" si="33"/>
        <v>0</v>
      </c>
      <c r="AE354" s="123">
        <f t="shared" si="31"/>
        <v>0</v>
      </c>
      <c r="AF354" s="123">
        <f t="shared" si="31"/>
        <v>0</v>
      </c>
      <c r="AG354" s="123">
        <f t="shared" si="31"/>
        <v>0</v>
      </c>
      <c r="AH354" s="122">
        <f t="shared" si="34"/>
        <v>0</v>
      </c>
    </row>
    <row r="355" spans="1:34" s="86" customFormat="1" ht="15.75">
      <c r="A355" s="125">
        <v>83</v>
      </c>
      <c r="B355" s="286">
        <f>IFERROR(VLOOKUP(A355,Cargas!$B$3:$I$93,9,FALSE),0)</f>
        <v>0</v>
      </c>
      <c r="C355" s="127" t="s">
        <v>109</v>
      </c>
      <c r="D355" s="271">
        <f t="shared" si="32"/>
        <v>0</v>
      </c>
      <c r="E355" s="268">
        <f t="shared" si="35"/>
        <v>0</v>
      </c>
      <c r="F355" s="266"/>
      <c r="G355" s="266"/>
      <c r="H355" s="266">
        <f>IFERROR( VLOOKUP(A355,Descargas!$B$3:$I$94,3,FALSE),0)</f>
        <v>0</v>
      </c>
      <c r="I355" s="266">
        <f>IFERROR( VLOOKUP(A355,Descargas!$B$3:$I$94,4,FALSE),0)</f>
        <v>0</v>
      </c>
      <c r="J355" s="266">
        <f>IFERROR( VLOOKUP(A355,Descargas!$B$3:$I$94,5,FALSE),0)</f>
        <v>0</v>
      </c>
      <c r="K355" s="266">
        <f>IFERROR( VLOOKUP(A355,Descargas!$B$3:$I$94,6,FALSE),0)</f>
        <v>0</v>
      </c>
      <c r="L355" s="266">
        <f>IFERROR( VLOOKUP(A355,Descargas!$B$3:$I$94,7,FALSE),0)</f>
        <v>0</v>
      </c>
      <c r="AB355" s="123">
        <f t="shared" si="33"/>
        <v>0</v>
      </c>
      <c r="AC355" s="123">
        <f t="shared" si="33"/>
        <v>0</v>
      </c>
      <c r="AD355" s="123">
        <f t="shared" si="33"/>
        <v>0</v>
      </c>
      <c r="AE355" s="123">
        <f t="shared" si="31"/>
        <v>0</v>
      </c>
      <c r="AF355" s="123">
        <f t="shared" si="31"/>
        <v>0</v>
      </c>
      <c r="AG355" s="123">
        <f t="shared" si="31"/>
        <v>0</v>
      </c>
      <c r="AH355" s="122">
        <f t="shared" si="34"/>
        <v>0</v>
      </c>
    </row>
    <row r="356" spans="1:34" ht="15.75">
      <c r="A356" s="125">
        <v>84</v>
      </c>
      <c r="B356" s="286">
        <f>IFERROR(VLOOKUP(A356,Cargas!$B$3:$I$93,9,FALSE),0)</f>
        <v>0</v>
      </c>
      <c r="C356" s="127" t="s">
        <v>170</v>
      </c>
      <c r="D356" s="271">
        <f t="shared" si="32"/>
        <v>0</v>
      </c>
      <c r="E356" s="268">
        <f t="shared" si="35"/>
        <v>0</v>
      </c>
      <c r="F356" s="266"/>
      <c r="G356" s="266"/>
      <c r="H356" s="266">
        <f>IFERROR( VLOOKUP(A356,Descargas!$B$3:$I$94,3,FALSE),0)</f>
        <v>0</v>
      </c>
      <c r="I356" s="266">
        <f>IFERROR( VLOOKUP(A356,Descargas!$B$3:$I$94,4,FALSE),0)</f>
        <v>0</v>
      </c>
      <c r="J356" s="266">
        <f>IFERROR( VLOOKUP(A356,Descargas!$B$3:$I$94,5,FALSE),0)</f>
        <v>0</v>
      </c>
      <c r="K356" s="266">
        <f>IFERROR( VLOOKUP(A356,Descargas!$B$3:$I$94,6,FALSE),0)</f>
        <v>0</v>
      </c>
      <c r="L356" s="266">
        <f>IFERROR( VLOOKUP(A356,Descargas!$B$3:$I$94,7,FALSE),0)</f>
        <v>0</v>
      </c>
      <c r="AB356" s="123">
        <f t="shared" si="33"/>
        <v>0</v>
      </c>
      <c r="AC356" s="123">
        <f t="shared" si="33"/>
        <v>0</v>
      </c>
      <c r="AD356" s="123">
        <f t="shared" si="33"/>
        <v>0</v>
      </c>
      <c r="AE356" s="123">
        <f t="shared" si="31"/>
        <v>0</v>
      </c>
      <c r="AF356" s="123">
        <f t="shared" si="31"/>
        <v>0</v>
      </c>
      <c r="AG356" s="123">
        <f t="shared" si="31"/>
        <v>0</v>
      </c>
      <c r="AH356" s="122">
        <f t="shared" si="34"/>
        <v>0</v>
      </c>
    </row>
    <row r="357" spans="1:34" s="86" customFormat="1" ht="15.75">
      <c r="A357" s="125">
        <v>85</v>
      </c>
      <c r="B357" s="286">
        <f>IFERROR(VLOOKUP(A357,Cargas!$B$3:$I$93,9,FALSE),0)</f>
        <v>0</v>
      </c>
      <c r="C357" s="127" t="s">
        <v>253</v>
      </c>
      <c r="D357" s="271">
        <f t="shared" si="32"/>
        <v>0</v>
      </c>
      <c r="E357" s="268">
        <f t="shared" si="35"/>
        <v>0</v>
      </c>
      <c r="F357" s="266"/>
      <c r="G357" s="266"/>
      <c r="H357" s="266">
        <f>IFERROR( VLOOKUP(A357,Descargas!$B$3:$I$94,3,FALSE),0)</f>
        <v>0</v>
      </c>
      <c r="I357" s="266">
        <f>IFERROR( VLOOKUP(A357,Descargas!$B$3:$I$94,4,FALSE),0)</f>
        <v>0</v>
      </c>
      <c r="J357" s="266">
        <f>IFERROR( VLOOKUP(A357,Descargas!$B$3:$I$94,5,FALSE),0)</f>
        <v>0</v>
      </c>
      <c r="K357" s="266">
        <f>IFERROR( VLOOKUP(A357,Descargas!$B$3:$I$94,6,FALSE),0)</f>
        <v>0</v>
      </c>
      <c r="L357" s="266">
        <f>IFERROR( VLOOKUP(A357,Descargas!$B$3:$I$94,7,FALSE),0)</f>
        <v>0</v>
      </c>
      <c r="AB357" s="123">
        <f t="shared" si="33"/>
        <v>0</v>
      </c>
      <c r="AC357" s="123">
        <f t="shared" si="33"/>
        <v>0</v>
      </c>
      <c r="AD357" s="123">
        <f t="shared" si="33"/>
        <v>0</v>
      </c>
      <c r="AE357" s="123">
        <f t="shared" si="31"/>
        <v>0</v>
      </c>
      <c r="AF357" s="123">
        <f t="shared" si="31"/>
        <v>0</v>
      </c>
      <c r="AG357" s="123">
        <f t="shared" si="31"/>
        <v>0</v>
      </c>
      <c r="AH357" s="122">
        <f t="shared" si="34"/>
        <v>0</v>
      </c>
    </row>
    <row r="358" spans="1:34" s="86" customFormat="1" ht="15.75">
      <c r="A358" s="125">
        <v>86</v>
      </c>
      <c r="B358" s="286">
        <f>IFERROR(VLOOKUP(A358,Cargas!$B$3:$I$93,9,FALSE),0)</f>
        <v>0</v>
      </c>
      <c r="C358" s="127" t="s">
        <v>102</v>
      </c>
      <c r="D358" s="271">
        <f t="shared" si="32"/>
        <v>0</v>
      </c>
      <c r="E358" s="268">
        <f t="shared" si="35"/>
        <v>0</v>
      </c>
      <c r="F358" s="266"/>
      <c r="G358" s="266"/>
      <c r="H358" s="266">
        <f>IFERROR( VLOOKUP(A358,Descargas!$B$3:$I$94,3,FALSE),0)</f>
        <v>0</v>
      </c>
      <c r="I358" s="266">
        <f>IFERROR( VLOOKUP(A358,Descargas!$B$3:$I$94,4,FALSE),0)</f>
        <v>0</v>
      </c>
      <c r="J358" s="266">
        <f>IFERROR( VLOOKUP(A358,Descargas!$B$3:$I$94,5,FALSE),0)</f>
        <v>0</v>
      </c>
      <c r="K358" s="266">
        <f>IFERROR( VLOOKUP(A358,Descargas!$B$3:$I$94,6,FALSE),0)</f>
        <v>0</v>
      </c>
      <c r="L358" s="266">
        <f>IFERROR( VLOOKUP(A358,Descargas!$B$3:$I$94,7,FALSE),0)</f>
        <v>0</v>
      </c>
      <c r="AB358" s="123">
        <f t="shared" si="33"/>
        <v>0</v>
      </c>
      <c r="AC358" s="123">
        <f t="shared" si="33"/>
        <v>0</v>
      </c>
      <c r="AD358" s="123">
        <f t="shared" si="33"/>
        <v>0</v>
      </c>
      <c r="AE358" s="123">
        <f t="shared" si="31"/>
        <v>0</v>
      </c>
      <c r="AF358" s="123">
        <f t="shared" si="31"/>
        <v>0</v>
      </c>
      <c r="AG358" s="123">
        <f t="shared" si="31"/>
        <v>0</v>
      </c>
      <c r="AH358" s="122">
        <f t="shared" si="34"/>
        <v>0</v>
      </c>
    </row>
    <row r="359" spans="1:34" s="74" customFormat="1" ht="15.75">
      <c r="A359" s="125">
        <v>87</v>
      </c>
      <c r="B359" s="286">
        <f>IFERROR(VLOOKUP(A359,Cargas!$B$3:$I$93,9,FALSE),0)</f>
        <v>0</v>
      </c>
      <c r="C359" s="127" t="s">
        <v>110</v>
      </c>
      <c r="D359" s="271">
        <f t="shared" si="32"/>
        <v>0</v>
      </c>
      <c r="E359" s="268">
        <f t="shared" si="35"/>
        <v>0</v>
      </c>
      <c r="F359" s="266"/>
      <c r="G359" s="266"/>
      <c r="H359" s="266">
        <f>IFERROR( VLOOKUP(A359,Descargas!$B$3:$I$94,3,FALSE),0)</f>
        <v>0</v>
      </c>
      <c r="I359" s="266">
        <f>IFERROR( VLOOKUP(A359,Descargas!$B$3:$I$94,4,FALSE),0)</f>
        <v>0</v>
      </c>
      <c r="J359" s="266">
        <f>IFERROR( VLOOKUP(A359,Descargas!$B$3:$I$94,5,FALSE),0)</f>
        <v>0</v>
      </c>
      <c r="K359" s="266">
        <f>IFERROR( VLOOKUP(A359,Descargas!$B$3:$I$94,6,FALSE),0)</f>
        <v>0</v>
      </c>
      <c r="L359" s="266">
        <f>IFERROR( VLOOKUP(A359,Descargas!$B$3:$I$94,7,FALSE),0)</f>
        <v>0</v>
      </c>
      <c r="AB359" s="123">
        <f t="shared" si="33"/>
        <v>0</v>
      </c>
      <c r="AC359" s="123">
        <f t="shared" si="33"/>
        <v>0</v>
      </c>
      <c r="AD359" s="123">
        <f t="shared" si="33"/>
        <v>0</v>
      </c>
      <c r="AE359" s="123">
        <f t="shared" si="31"/>
        <v>0</v>
      </c>
      <c r="AF359" s="123">
        <f t="shared" si="31"/>
        <v>0</v>
      </c>
      <c r="AG359" s="123">
        <f t="shared" si="31"/>
        <v>0</v>
      </c>
      <c r="AH359" s="122">
        <f t="shared" si="34"/>
        <v>0</v>
      </c>
    </row>
    <row r="360" spans="1:34" s="86" customFormat="1" ht="15.75">
      <c r="A360" s="125">
        <v>88</v>
      </c>
      <c r="B360" s="286">
        <f>IFERROR(VLOOKUP(A360,Cargas!$B$3:$I$93,9,FALSE),0)</f>
        <v>0</v>
      </c>
      <c r="C360" s="127" t="s">
        <v>171</v>
      </c>
      <c r="D360" s="271">
        <f t="shared" ref="D360:D391" si="36">+SUM(H360:L360)</f>
        <v>0</v>
      </c>
      <c r="E360" s="268">
        <f>+SUM(H360:L360)</f>
        <v>0</v>
      </c>
      <c r="F360" s="266"/>
      <c r="G360" s="266"/>
      <c r="H360" s="266">
        <f>IFERROR( VLOOKUP(A360,Descargas!$B$3:$I$94,3,FALSE),0)</f>
        <v>0</v>
      </c>
      <c r="I360" s="266">
        <f>IFERROR( VLOOKUP(A360,Descargas!$B$3:$I$94,4,FALSE),0)</f>
        <v>0</v>
      </c>
      <c r="J360" s="266">
        <f>IFERROR( VLOOKUP(A360,Descargas!$B$3:$I$94,5,FALSE),0)</f>
        <v>0</v>
      </c>
      <c r="K360" s="266">
        <f>IFERROR( VLOOKUP(A360,Descargas!$B$3:$I$94,6,FALSE),0)</f>
        <v>0</v>
      </c>
      <c r="L360" s="266">
        <f>IFERROR( VLOOKUP(A360,Descargas!$B$3:$I$94,7,FALSE),0)</f>
        <v>0</v>
      </c>
      <c r="AB360" s="123">
        <f t="shared" si="33"/>
        <v>0</v>
      </c>
      <c r="AC360" s="123">
        <f t="shared" si="33"/>
        <v>0</v>
      </c>
      <c r="AD360" s="123">
        <f t="shared" si="33"/>
        <v>0</v>
      </c>
      <c r="AE360" s="123">
        <f t="shared" si="31"/>
        <v>0</v>
      </c>
      <c r="AF360" s="123">
        <f t="shared" si="31"/>
        <v>0</v>
      </c>
      <c r="AG360" s="123">
        <f t="shared" si="31"/>
        <v>0</v>
      </c>
      <c r="AH360" s="122">
        <f t="shared" si="34"/>
        <v>0</v>
      </c>
    </row>
    <row r="361" spans="1:34" s="86" customFormat="1" ht="15.75">
      <c r="A361" s="125">
        <v>89</v>
      </c>
      <c r="B361" s="286">
        <f>IFERROR(VLOOKUP(A361,Cargas!$B$3:$I$93,9,FALSE),0)</f>
        <v>0</v>
      </c>
      <c r="C361" s="127" t="s">
        <v>103</v>
      </c>
      <c r="D361" s="271">
        <f t="shared" si="36"/>
        <v>0</v>
      </c>
      <c r="E361" s="268">
        <f t="shared" si="35"/>
        <v>0</v>
      </c>
      <c r="F361" s="266"/>
      <c r="G361" s="266"/>
      <c r="H361" s="266">
        <f>IFERROR( VLOOKUP(A361,Descargas!$B$3:$I$94,3,FALSE),0)</f>
        <v>0</v>
      </c>
      <c r="I361" s="266">
        <f>IFERROR( VLOOKUP(A361,Descargas!$B$3:$I$94,4,FALSE),0)</f>
        <v>0</v>
      </c>
      <c r="J361" s="266">
        <f>IFERROR( VLOOKUP(A361,Descargas!$B$3:$I$94,5,FALSE),0)</f>
        <v>0</v>
      </c>
      <c r="K361" s="266">
        <f>IFERROR( VLOOKUP(A361,Descargas!$B$3:$I$94,6,FALSE),0)</f>
        <v>0</v>
      </c>
      <c r="L361" s="266">
        <f>IFERROR( VLOOKUP(A361,Descargas!$B$3:$I$94,7,FALSE),0)</f>
        <v>0</v>
      </c>
      <c r="AB361" s="123">
        <f t="shared" si="33"/>
        <v>0</v>
      </c>
      <c r="AC361" s="123">
        <f t="shared" si="33"/>
        <v>0</v>
      </c>
      <c r="AD361" s="123">
        <f t="shared" si="33"/>
        <v>0</v>
      </c>
      <c r="AE361" s="123">
        <f t="shared" si="31"/>
        <v>0</v>
      </c>
      <c r="AF361" s="123">
        <f t="shared" si="31"/>
        <v>0</v>
      </c>
      <c r="AG361" s="123">
        <f t="shared" si="31"/>
        <v>0</v>
      </c>
      <c r="AH361" s="122">
        <f t="shared" si="34"/>
        <v>0</v>
      </c>
    </row>
    <row r="362" spans="1:34" ht="15.75">
      <c r="A362" s="125">
        <v>90</v>
      </c>
      <c r="B362" s="286">
        <f>IFERROR(VLOOKUP(A362,Cargas!$B$3:$I$93,9,FALSE),0)</f>
        <v>0</v>
      </c>
      <c r="C362" s="127" t="s">
        <v>232</v>
      </c>
      <c r="D362" s="271">
        <f t="shared" si="36"/>
        <v>0</v>
      </c>
      <c r="E362" s="268">
        <f t="shared" si="35"/>
        <v>0</v>
      </c>
      <c r="F362" s="266"/>
      <c r="G362" s="266"/>
      <c r="H362" s="266">
        <f>IFERROR( VLOOKUP(A362,Descargas!$B$3:$I$94,3,FALSE),0)</f>
        <v>0</v>
      </c>
      <c r="I362" s="266">
        <f>IFERROR( VLOOKUP(A362,Descargas!$B$3:$I$94,4,FALSE),0)</f>
        <v>0</v>
      </c>
      <c r="J362" s="266">
        <f>IFERROR( VLOOKUP(A362,Descargas!$B$3:$I$94,5,FALSE),0)</f>
        <v>0</v>
      </c>
      <c r="K362" s="266">
        <f>IFERROR( VLOOKUP(A362,Descargas!$B$3:$I$94,6,FALSE),0)</f>
        <v>0</v>
      </c>
      <c r="L362" s="266">
        <f>IFERROR( VLOOKUP(A362,Descargas!$B$3:$I$94,7,FALSE),0)</f>
        <v>0</v>
      </c>
      <c r="AB362" s="123">
        <f t="shared" si="33"/>
        <v>0</v>
      </c>
      <c r="AC362" s="123">
        <f t="shared" si="33"/>
        <v>0</v>
      </c>
      <c r="AD362" s="123">
        <f t="shared" si="33"/>
        <v>0</v>
      </c>
      <c r="AE362" s="123">
        <f t="shared" si="31"/>
        <v>0</v>
      </c>
      <c r="AF362" s="123">
        <f t="shared" si="31"/>
        <v>0</v>
      </c>
      <c r="AG362" s="123">
        <f t="shared" si="31"/>
        <v>0</v>
      </c>
      <c r="AH362" s="122">
        <f t="shared" si="34"/>
        <v>0</v>
      </c>
    </row>
    <row r="363" spans="1:34" s="86" customFormat="1" ht="15.75">
      <c r="A363" s="125">
        <v>91</v>
      </c>
      <c r="B363" s="286">
        <f>IFERROR(VLOOKUP(A363,Cargas!$B$3:$I$93,9,FALSE),0)</f>
        <v>0</v>
      </c>
      <c r="C363" s="127" t="s">
        <v>76</v>
      </c>
      <c r="D363" s="271">
        <f t="shared" si="36"/>
        <v>0</v>
      </c>
      <c r="E363" s="268">
        <f t="shared" si="35"/>
        <v>0</v>
      </c>
      <c r="F363" s="266"/>
      <c r="G363" s="266"/>
      <c r="H363" s="266">
        <f>IFERROR( VLOOKUP(A363,Descargas!$B$3:$I$94,3,FALSE),0)</f>
        <v>0</v>
      </c>
      <c r="I363" s="266">
        <f>IFERROR( VLOOKUP(A363,Descargas!$B$3:$I$94,4,FALSE),0)</f>
        <v>0</v>
      </c>
      <c r="J363" s="266">
        <f>IFERROR( VLOOKUP(A363,Descargas!$B$3:$I$94,5,FALSE),0)</f>
        <v>0</v>
      </c>
      <c r="K363" s="266">
        <f>IFERROR( VLOOKUP(A363,Descargas!$B$3:$I$94,6,FALSE),0)</f>
        <v>0</v>
      </c>
      <c r="L363" s="266">
        <f>IFERROR( VLOOKUP(A363,Descargas!$B$3:$I$94,7,FALSE),0)</f>
        <v>0</v>
      </c>
      <c r="AB363" s="123">
        <f t="shared" si="33"/>
        <v>0</v>
      </c>
      <c r="AC363" s="123">
        <f t="shared" si="33"/>
        <v>0</v>
      </c>
      <c r="AD363" s="123">
        <f t="shared" si="33"/>
        <v>0</v>
      </c>
      <c r="AE363" s="123">
        <f t="shared" si="31"/>
        <v>0</v>
      </c>
      <c r="AF363" s="123">
        <f t="shared" si="31"/>
        <v>0</v>
      </c>
      <c r="AG363" s="123">
        <f t="shared" si="31"/>
        <v>0</v>
      </c>
      <c r="AH363" s="122">
        <f t="shared" si="34"/>
        <v>0</v>
      </c>
    </row>
    <row r="364" spans="1:34" ht="15.75">
      <c r="A364" s="125">
        <v>92</v>
      </c>
      <c r="B364" s="286">
        <f>IFERROR(VLOOKUP(A364,Cargas!$B$3:$I$93,9,FALSE),0)</f>
        <v>0</v>
      </c>
      <c r="C364" s="127" t="s">
        <v>53</v>
      </c>
      <c r="D364" s="271">
        <f t="shared" si="36"/>
        <v>0</v>
      </c>
      <c r="E364" s="268">
        <f t="shared" si="35"/>
        <v>0</v>
      </c>
      <c r="F364" s="266"/>
      <c r="G364" s="266"/>
      <c r="H364" s="266">
        <f>IFERROR( VLOOKUP(A364,Descargas!$B$3:$I$94,3,FALSE),0)</f>
        <v>0</v>
      </c>
      <c r="I364" s="266">
        <f>IFERROR( VLOOKUP(A364,Descargas!$B$3:$I$94,4,FALSE),0)</f>
        <v>0</v>
      </c>
      <c r="J364" s="266">
        <f>IFERROR( VLOOKUP(A364,Descargas!$B$3:$I$94,5,FALSE),0)</f>
        <v>0</v>
      </c>
      <c r="K364" s="266">
        <f>IFERROR( VLOOKUP(A364,Descargas!$B$3:$I$94,6,FALSE),0)</f>
        <v>0</v>
      </c>
      <c r="L364" s="266">
        <f>IFERROR( VLOOKUP(A364,Descargas!$B$3:$I$94,7,FALSE),0)</f>
        <v>0</v>
      </c>
      <c r="AB364" s="123">
        <f t="shared" si="33"/>
        <v>0</v>
      </c>
      <c r="AC364" s="123">
        <f t="shared" si="33"/>
        <v>0</v>
      </c>
      <c r="AD364" s="123">
        <f t="shared" si="33"/>
        <v>0</v>
      </c>
      <c r="AE364" s="123">
        <f t="shared" si="31"/>
        <v>0</v>
      </c>
      <c r="AF364" s="123">
        <f t="shared" si="31"/>
        <v>0</v>
      </c>
      <c r="AG364" s="123">
        <f t="shared" si="31"/>
        <v>0</v>
      </c>
      <c r="AH364" s="122">
        <f t="shared" si="34"/>
        <v>0</v>
      </c>
    </row>
    <row r="365" spans="1:34" s="86" customFormat="1" ht="15.75">
      <c r="A365" s="125">
        <v>93</v>
      </c>
      <c r="B365" s="286">
        <f>IFERROR(VLOOKUP(A365,Cargas!$B$3:$I$93,9,FALSE),0)</f>
        <v>0</v>
      </c>
      <c r="C365" s="127" t="s">
        <v>54</v>
      </c>
      <c r="D365" s="271">
        <f t="shared" si="36"/>
        <v>0</v>
      </c>
      <c r="E365" s="268">
        <f t="shared" si="35"/>
        <v>0</v>
      </c>
      <c r="F365" s="266"/>
      <c r="G365" s="266"/>
      <c r="H365" s="266">
        <f>IFERROR( VLOOKUP(A365,Descargas!$B$3:$I$94,3,FALSE),0)</f>
        <v>0</v>
      </c>
      <c r="I365" s="266">
        <f>IFERROR( VLOOKUP(A365,Descargas!$B$3:$I$94,4,FALSE),0)</f>
        <v>0</v>
      </c>
      <c r="J365" s="266">
        <f>IFERROR( VLOOKUP(A365,Descargas!$B$3:$I$94,5,FALSE),0)</f>
        <v>0</v>
      </c>
      <c r="K365" s="266">
        <f>IFERROR( VLOOKUP(A365,Descargas!$B$3:$I$94,6,FALSE),0)</f>
        <v>0</v>
      </c>
      <c r="L365" s="266">
        <f>IFERROR( VLOOKUP(A365,Descargas!$B$3:$I$94,7,FALSE),0)</f>
        <v>0</v>
      </c>
      <c r="AB365" s="123">
        <f t="shared" si="33"/>
        <v>0</v>
      </c>
      <c r="AC365" s="123">
        <f t="shared" si="33"/>
        <v>0</v>
      </c>
      <c r="AD365" s="123">
        <f t="shared" si="33"/>
        <v>0</v>
      </c>
      <c r="AE365" s="123">
        <f t="shared" si="31"/>
        <v>0</v>
      </c>
      <c r="AF365" s="123">
        <f t="shared" si="31"/>
        <v>0</v>
      </c>
      <c r="AG365" s="123">
        <f t="shared" si="31"/>
        <v>0</v>
      </c>
      <c r="AH365" s="122">
        <f t="shared" si="34"/>
        <v>0</v>
      </c>
    </row>
    <row r="366" spans="1:34" s="86" customFormat="1" ht="15.75">
      <c r="A366" s="125">
        <v>94</v>
      </c>
      <c r="B366" s="286">
        <f>IFERROR(VLOOKUP(A366,Cargas!$B$3:$I$93,9,FALSE),0)</f>
        <v>0</v>
      </c>
      <c r="C366" s="127" t="s">
        <v>55</v>
      </c>
      <c r="D366" s="271">
        <f t="shared" si="36"/>
        <v>0</v>
      </c>
      <c r="E366" s="268">
        <f t="shared" si="35"/>
        <v>0</v>
      </c>
      <c r="F366" s="266"/>
      <c r="G366" s="266"/>
      <c r="H366" s="266">
        <f>IFERROR( VLOOKUP(A366,Descargas!$B$3:$I$94,3,FALSE),0)</f>
        <v>0</v>
      </c>
      <c r="I366" s="266">
        <f>IFERROR( VLOOKUP(A366,Descargas!$B$3:$I$94,4,FALSE),0)</f>
        <v>0</v>
      </c>
      <c r="J366" s="266">
        <f>IFERROR( VLOOKUP(A366,Descargas!$B$3:$I$94,5,FALSE),0)</f>
        <v>0</v>
      </c>
      <c r="K366" s="266">
        <f>IFERROR( VLOOKUP(A366,Descargas!$B$3:$I$94,6,FALSE),0)</f>
        <v>0</v>
      </c>
      <c r="L366" s="266">
        <f>IFERROR( VLOOKUP(A366,Descargas!$B$3:$I$94,7,FALSE),0)</f>
        <v>0</v>
      </c>
      <c r="AB366" s="123">
        <f t="shared" si="33"/>
        <v>0</v>
      </c>
      <c r="AC366" s="123">
        <f t="shared" si="33"/>
        <v>0</v>
      </c>
      <c r="AD366" s="123">
        <f t="shared" si="33"/>
        <v>0</v>
      </c>
      <c r="AE366" s="123">
        <f t="shared" si="31"/>
        <v>0</v>
      </c>
      <c r="AF366" s="123">
        <f t="shared" si="31"/>
        <v>0</v>
      </c>
      <c r="AG366" s="123">
        <f t="shared" si="31"/>
        <v>0</v>
      </c>
      <c r="AH366" s="122">
        <f t="shared" si="34"/>
        <v>0</v>
      </c>
    </row>
    <row r="367" spans="1:34" ht="15.75">
      <c r="A367" s="125">
        <v>95</v>
      </c>
      <c r="B367" s="286">
        <f>IFERROR(VLOOKUP(A367,Cargas!$B$3:$I$93,9,FALSE),0)</f>
        <v>0</v>
      </c>
      <c r="C367" s="127" t="s">
        <v>68</v>
      </c>
      <c r="D367" s="271">
        <f t="shared" si="36"/>
        <v>0</v>
      </c>
      <c r="E367" s="268">
        <f t="shared" si="35"/>
        <v>0</v>
      </c>
      <c r="F367" s="266"/>
      <c r="G367" s="266"/>
      <c r="H367" s="266">
        <f>IFERROR( VLOOKUP(A367,Descargas!$B$3:$I$94,3,FALSE),0)</f>
        <v>0</v>
      </c>
      <c r="I367" s="266">
        <f>IFERROR( VLOOKUP(A367,Descargas!$B$3:$I$94,4,FALSE),0)</f>
        <v>0</v>
      </c>
      <c r="J367" s="266">
        <f>IFERROR( VLOOKUP(A367,Descargas!$B$3:$I$94,5,FALSE),0)</f>
        <v>0</v>
      </c>
      <c r="K367" s="266">
        <f>IFERROR( VLOOKUP(A367,Descargas!$B$3:$I$94,6,FALSE),0)</f>
        <v>0</v>
      </c>
      <c r="L367" s="266">
        <f>IFERROR( VLOOKUP(A367,Descargas!$B$3:$I$94,7,FALSE),0)</f>
        <v>0</v>
      </c>
      <c r="AB367" s="123">
        <f t="shared" si="33"/>
        <v>0</v>
      </c>
      <c r="AC367" s="123">
        <f t="shared" si="33"/>
        <v>0</v>
      </c>
      <c r="AD367" s="123">
        <f t="shared" si="33"/>
        <v>0</v>
      </c>
      <c r="AE367" s="123">
        <f t="shared" si="31"/>
        <v>0</v>
      </c>
      <c r="AF367" s="123">
        <f t="shared" si="31"/>
        <v>0</v>
      </c>
      <c r="AG367" s="123">
        <f t="shared" si="31"/>
        <v>0</v>
      </c>
      <c r="AH367" s="122">
        <f t="shared" si="34"/>
        <v>0</v>
      </c>
    </row>
    <row r="368" spans="1:34" s="86" customFormat="1" ht="15.75">
      <c r="A368" s="125">
        <v>97</v>
      </c>
      <c r="B368" s="286">
        <f>IFERROR(VLOOKUP(A368,Cargas!$B$3:$I$93,9,FALSE),0)</f>
        <v>0</v>
      </c>
      <c r="C368" s="127" t="s">
        <v>77</v>
      </c>
      <c r="D368" s="271">
        <f t="shared" si="36"/>
        <v>0</v>
      </c>
      <c r="E368" s="268">
        <f t="shared" si="35"/>
        <v>0</v>
      </c>
      <c r="F368" s="266"/>
      <c r="G368" s="266"/>
      <c r="H368" s="266">
        <f>IFERROR( VLOOKUP(A368,Descargas!$B$3:$I$94,3,FALSE),0)</f>
        <v>0</v>
      </c>
      <c r="I368" s="266">
        <f>IFERROR( VLOOKUP(A368,Descargas!$B$3:$I$94,4,FALSE),0)</f>
        <v>0</v>
      </c>
      <c r="J368" s="266">
        <f>IFERROR( VLOOKUP(A368,Descargas!$B$3:$I$94,5,FALSE),0)</f>
        <v>0</v>
      </c>
      <c r="K368" s="266">
        <f>IFERROR( VLOOKUP(A368,Descargas!$B$3:$I$94,6,FALSE),0)</f>
        <v>0</v>
      </c>
      <c r="L368" s="266">
        <f>IFERROR( VLOOKUP(A368,Descargas!$B$3:$I$94,7,FALSE),0)</f>
        <v>0</v>
      </c>
      <c r="AB368" s="123">
        <f t="shared" si="33"/>
        <v>0</v>
      </c>
      <c r="AC368" s="123">
        <f t="shared" si="33"/>
        <v>0</v>
      </c>
      <c r="AD368" s="123">
        <f t="shared" si="33"/>
        <v>0</v>
      </c>
      <c r="AE368" s="123">
        <f t="shared" si="31"/>
        <v>0</v>
      </c>
      <c r="AF368" s="123">
        <f t="shared" si="31"/>
        <v>0</v>
      </c>
      <c r="AG368" s="123">
        <f t="shared" si="31"/>
        <v>0</v>
      </c>
      <c r="AH368" s="122">
        <f t="shared" si="34"/>
        <v>0</v>
      </c>
    </row>
    <row r="369" spans="1:34" s="86" customFormat="1" ht="15.75">
      <c r="A369" s="125">
        <v>98</v>
      </c>
      <c r="B369" s="286">
        <f>IFERROR(VLOOKUP(A369,Cargas!$B$3:$I$93,9,FALSE),0)</f>
        <v>0</v>
      </c>
      <c r="C369" s="127" t="s">
        <v>41</v>
      </c>
      <c r="D369" s="271">
        <f t="shared" si="36"/>
        <v>0</v>
      </c>
      <c r="E369" s="268">
        <f t="shared" si="35"/>
        <v>0</v>
      </c>
      <c r="F369" s="266"/>
      <c r="G369" s="266"/>
      <c r="H369" s="266">
        <f>IFERROR( VLOOKUP(A369,Descargas!$B$3:$I$94,3,FALSE),0)</f>
        <v>0</v>
      </c>
      <c r="I369" s="266">
        <f>IFERROR( VLOOKUP(A369,Descargas!$B$3:$I$94,4,FALSE),0)</f>
        <v>0</v>
      </c>
      <c r="J369" s="266">
        <f>IFERROR( VLOOKUP(A369,Descargas!$B$3:$I$94,5,FALSE),0)</f>
        <v>0</v>
      </c>
      <c r="K369" s="266">
        <f>IFERROR( VLOOKUP(A369,Descargas!$B$3:$I$94,6,FALSE),0)</f>
        <v>0</v>
      </c>
      <c r="L369" s="266">
        <f>IFERROR( VLOOKUP(A369,Descargas!$B$3:$I$94,7,FALSE),0)</f>
        <v>0</v>
      </c>
      <c r="AB369" s="123">
        <f t="shared" si="33"/>
        <v>0</v>
      </c>
      <c r="AC369" s="123">
        <f t="shared" si="33"/>
        <v>0</v>
      </c>
      <c r="AD369" s="123">
        <f t="shared" si="33"/>
        <v>0</v>
      </c>
      <c r="AE369" s="123">
        <f t="shared" si="31"/>
        <v>0</v>
      </c>
      <c r="AF369" s="123">
        <f t="shared" si="31"/>
        <v>0</v>
      </c>
      <c r="AG369" s="123">
        <f t="shared" si="31"/>
        <v>0</v>
      </c>
      <c r="AH369" s="122">
        <f t="shared" si="34"/>
        <v>0</v>
      </c>
    </row>
    <row r="370" spans="1:34" ht="15.75">
      <c r="A370" s="125">
        <v>99</v>
      </c>
      <c r="B370" s="286">
        <f>IFERROR(VLOOKUP(A370,Cargas!$B$3:$I$93,9,FALSE),0)</f>
        <v>0</v>
      </c>
      <c r="C370" s="127" t="s">
        <v>261</v>
      </c>
      <c r="D370" s="271">
        <f t="shared" si="36"/>
        <v>0</v>
      </c>
      <c r="E370" s="268">
        <f t="shared" si="35"/>
        <v>0</v>
      </c>
      <c r="F370" s="266"/>
      <c r="G370" s="266"/>
      <c r="H370" s="266">
        <f>IFERROR( VLOOKUP(A370,Descargas!$B$3:$I$94,3,FALSE),0)</f>
        <v>0</v>
      </c>
      <c r="I370" s="266">
        <f>IFERROR( VLOOKUP(A370,Descargas!$B$3:$I$94,4,FALSE),0)</f>
        <v>0</v>
      </c>
      <c r="J370" s="266">
        <f>IFERROR( VLOOKUP(A370,Descargas!$B$3:$I$94,5,FALSE),0)</f>
        <v>0</v>
      </c>
      <c r="K370" s="266">
        <f>IFERROR( VLOOKUP(A370,Descargas!$B$3:$I$94,6,FALSE),0)</f>
        <v>0</v>
      </c>
      <c r="L370" s="266">
        <f>IFERROR( VLOOKUP(A370,Descargas!$B$3:$I$94,7,FALSE),0)</f>
        <v>0</v>
      </c>
      <c r="AB370" s="123">
        <f t="shared" si="33"/>
        <v>0</v>
      </c>
      <c r="AC370" s="123">
        <f t="shared" si="33"/>
        <v>0</v>
      </c>
      <c r="AD370" s="123">
        <f t="shared" si="33"/>
        <v>0</v>
      </c>
      <c r="AE370" s="123">
        <f t="shared" si="31"/>
        <v>0</v>
      </c>
      <c r="AF370" s="123">
        <f t="shared" si="31"/>
        <v>0</v>
      </c>
      <c r="AG370" s="123">
        <f t="shared" si="31"/>
        <v>0</v>
      </c>
      <c r="AH370" s="122">
        <f t="shared" si="34"/>
        <v>0</v>
      </c>
    </row>
    <row r="371" spans="1:34" s="86" customFormat="1" ht="15.75">
      <c r="A371" s="125">
        <v>100</v>
      </c>
      <c r="B371" s="286">
        <f>IFERROR(VLOOKUP(A371,Cargas!$B$3:$I$93,9,FALSE),0)</f>
        <v>0</v>
      </c>
      <c r="C371" s="127" t="s">
        <v>42</v>
      </c>
      <c r="D371" s="271">
        <f t="shared" si="36"/>
        <v>0</v>
      </c>
      <c r="E371" s="268">
        <f>+SUM(H371:L371)</f>
        <v>0</v>
      </c>
      <c r="F371" s="266"/>
      <c r="G371" s="266"/>
      <c r="H371" s="266">
        <f>IFERROR( VLOOKUP(A371,Descargas!$B$3:$I$94,3,FALSE),0)</f>
        <v>0</v>
      </c>
      <c r="I371" s="266">
        <f>IFERROR( VLOOKUP(A371,Descargas!$B$3:$I$94,4,FALSE),0)</f>
        <v>0</v>
      </c>
      <c r="J371" s="266">
        <f>IFERROR( VLOOKUP(A371,Descargas!$B$3:$I$94,5,FALSE),0)</f>
        <v>0</v>
      </c>
      <c r="K371" s="266">
        <f>IFERROR( VLOOKUP(A371,Descargas!$B$3:$I$94,6,FALSE),0)</f>
        <v>0</v>
      </c>
      <c r="L371" s="266">
        <f>IFERROR( VLOOKUP(A371,Descargas!$B$3:$I$94,7,FALSE),0)</f>
        <v>0</v>
      </c>
      <c r="AB371" s="123">
        <f t="shared" si="33"/>
        <v>0</v>
      </c>
      <c r="AC371" s="123">
        <f t="shared" si="33"/>
        <v>0</v>
      </c>
      <c r="AD371" s="123">
        <f t="shared" si="33"/>
        <v>0</v>
      </c>
      <c r="AE371" s="123">
        <f t="shared" si="31"/>
        <v>0</v>
      </c>
      <c r="AF371" s="123">
        <f t="shared" si="31"/>
        <v>0</v>
      </c>
      <c r="AG371" s="123">
        <f t="shared" si="31"/>
        <v>0</v>
      </c>
      <c r="AH371" s="122">
        <f t="shared" si="34"/>
        <v>0</v>
      </c>
    </row>
    <row r="372" spans="1:34" ht="15.75">
      <c r="A372" s="125">
        <v>101</v>
      </c>
      <c r="B372" s="286">
        <f>IFERROR(VLOOKUP(A372,Cargas!$B$3:$I$93,9,FALSE),0)</f>
        <v>0</v>
      </c>
      <c r="C372" s="127" t="s">
        <v>45</v>
      </c>
      <c r="D372" s="271">
        <f t="shared" si="36"/>
        <v>0</v>
      </c>
      <c r="E372" s="268">
        <f>+SUM(H372:L372)</f>
        <v>0</v>
      </c>
      <c r="F372" s="263"/>
      <c r="G372" s="266"/>
      <c r="H372" s="266">
        <f>IFERROR( VLOOKUP(A372,Descargas!$B$3:$I$94,3,FALSE),0)</f>
        <v>0</v>
      </c>
      <c r="I372" s="266">
        <f>IFERROR( VLOOKUP(A372,Descargas!$B$3:$I$94,4,FALSE),0)</f>
        <v>0</v>
      </c>
      <c r="J372" s="266">
        <f>IFERROR( VLOOKUP(A372,Descargas!$B$3:$I$94,5,FALSE),0)</f>
        <v>0</v>
      </c>
      <c r="K372" s="266">
        <f>IFERROR( VLOOKUP(A372,Descargas!$B$3:$I$94,6,FALSE),0)</f>
        <v>0</v>
      </c>
      <c r="L372" s="266">
        <f>IFERROR( VLOOKUP(A372,Descargas!$B$3:$I$94,7,FALSE),0)</f>
        <v>0</v>
      </c>
      <c r="AB372" s="123">
        <f t="shared" si="33"/>
        <v>0</v>
      </c>
      <c r="AC372" s="123">
        <f t="shared" si="33"/>
        <v>0</v>
      </c>
      <c r="AD372" s="123">
        <f t="shared" si="33"/>
        <v>0</v>
      </c>
      <c r="AE372" s="123">
        <f t="shared" si="31"/>
        <v>0</v>
      </c>
      <c r="AF372" s="123">
        <f t="shared" si="31"/>
        <v>0</v>
      </c>
      <c r="AG372" s="123">
        <f t="shared" si="31"/>
        <v>0</v>
      </c>
      <c r="AH372" s="122">
        <f t="shared" si="34"/>
        <v>0</v>
      </c>
    </row>
    <row r="373" spans="1:34" s="86" customFormat="1" ht="15.75">
      <c r="A373" s="125">
        <v>102</v>
      </c>
      <c r="B373" s="286">
        <f>IFERROR(VLOOKUP(A373,Cargas!$B$3:$I$93,9,FALSE),0)</f>
        <v>0</v>
      </c>
      <c r="C373" s="127" t="s">
        <v>172</v>
      </c>
      <c r="D373" s="271">
        <f t="shared" si="36"/>
        <v>0</v>
      </c>
      <c r="E373" s="268">
        <f>+SUM(H373:L373)</f>
        <v>0</v>
      </c>
      <c r="F373" s="266"/>
      <c r="G373" s="266"/>
      <c r="H373" s="266">
        <f>IFERROR( VLOOKUP(A373,Descargas!$B$3:$I$94,3,FALSE),0)</f>
        <v>0</v>
      </c>
      <c r="I373" s="266">
        <f>IFERROR( VLOOKUP(A373,Descargas!$B$3:$I$94,4,FALSE),0)</f>
        <v>0</v>
      </c>
      <c r="J373" s="266">
        <f>IFERROR( VLOOKUP(A373,Descargas!$B$3:$I$94,5,FALSE),0)</f>
        <v>0</v>
      </c>
      <c r="K373" s="266">
        <f>IFERROR( VLOOKUP(A373,Descargas!$B$3:$I$94,6,FALSE),0)</f>
        <v>0</v>
      </c>
      <c r="L373" s="266">
        <f>IFERROR( VLOOKUP(A373,Descargas!$B$3:$I$94,7,FALSE),0)</f>
        <v>0</v>
      </c>
      <c r="AB373" s="123">
        <f t="shared" si="33"/>
        <v>0</v>
      </c>
      <c r="AC373" s="123">
        <f t="shared" si="33"/>
        <v>0</v>
      </c>
      <c r="AD373" s="123">
        <f t="shared" si="33"/>
        <v>0</v>
      </c>
      <c r="AE373" s="123">
        <f t="shared" si="31"/>
        <v>0</v>
      </c>
      <c r="AF373" s="123">
        <f t="shared" si="31"/>
        <v>0</v>
      </c>
      <c r="AG373" s="123">
        <f t="shared" si="31"/>
        <v>0</v>
      </c>
      <c r="AH373" s="122">
        <f t="shared" si="34"/>
        <v>0</v>
      </c>
    </row>
    <row r="374" spans="1:34" ht="15.75">
      <c r="A374" s="125">
        <v>103</v>
      </c>
      <c r="B374" s="286">
        <f>IFERROR(VLOOKUP(A374,Cargas!$B$3:$I$93,9,FALSE),0)</f>
        <v>0</v>
      </c>
      <c r="C374" s="127" t="s">
        <v>46</v>
      </c>
      <c r="D374" s="271">
        <f t="shared" si="36"/>
        <v>0</v>
      </c>
      <c r="E374" s="268">
        <f>+SUM(H374:L374)</f>
        <v>0</v>
      </c>
      <c r="F374" s="266"/>
      <c r="G374" s="266"/>
      <c r="H374" s="266">
        <f>IFERROR( VLOOKUP(A374,Descargas!$B$3:$I$94,3,FALSE),0)</f>
        <v>0</v>
      </c>
      <c r="I374" s="266">
        <f>IFERROR( VLOOKUP(A374,Descargas!$B$3:$I$94,4,FALSE),0)</f>
        <v>0</v>
      </c>
      <c r="J374" s="266">
        <f>IFERROR( VLOOKUP(A374,Descargas!$B$3:$I$94,5,FALSE),0)</f>
        <v>0</v>
      </c>
      <c r="K374" s="266">
        <f>IFERROR( VLOOKUP(A374,Descargas!$B$3:$I$94,6,FALSE),0)</f>
        <v>0</v>
      </c>
      <c r="L374" s="266">
        <f>IFERROR( VLOOKUP(A374,Descargas!$B$3:$I$94,7,FALSE),0)</f>
        <v>0</v>
      </c>
      <c r="AB374" s="123">
        <f t="shared" si="33"/>
        <v>0</v>
      </c>
      <c r="AC374" s="123">
        <f t="shared" si="33"/>
        <v>0</v>
      </c>
      <c r="AD374" s="123">
        <f t="shared" si="33"/>
        <v>0</v>
      </c>
      <c r="AE374" s="123">
        <f t="shared" si="31"/>
        <v>0</v>
      </c>
      <c r="AF374" s="123">
        <f t="shared" si="31"/>
        <v>0</v>
      </c>
      <c r="AG374" s="123">
        <f t="shared" si="31"/>
        <v>0</v>
      </c>
      <c r="AH374" s="122">
        <f t="shared" si="34"/>
        <v>0</v>
      </c>
    </row>
    <row r="375" spans="1:34" s="86" customFormat="1" ht="15.75">
      <c r="A375" s="125">
        <v>105</v>
      </c>
      <c r="B375" s="286">
        <f>IFERROR(VLOOKUP(A375,Cargas!$B$3:$I$93,9,FALSE),0)</f>
        <v>0</v>
      </c>
      <c r="C375" s="127" t="s">
        <v>43</v>
      </c>
      <c r="D375" s="271">
        <f t="shared" si="36"/>
        <v>0</v>
      </c>
      <c r="E375" s="268">
        <f t="shared" si="35"/>
        <v>0</v>
      </c>
      <c r="F375" s="266"/>
      <c r="G375" s="266"/>
      <c r="H375" s="266">
        <f>IFERROR( VLOOKUP(A375,Descargas!$B$3:$I$94,3,FALSE),0)</f>
        <v>0</v>
      </c>
      <c r="I375" s="266">
        <f>IFERROR( VLOOKUP(A375,Descargas!$B$3:$I$94,4,FALSE),0)</f>
        <v>0</v>
      </c>
      <c r="J375" s="266">
        <f>IFERROR( VLOOKUP(A375,Descargas!$B$3:$I$94,5,FALSE),0)</f>
        <v>0</v>
      </c>
      <c r="K375" s="266">
        <f>IFERROR( VLOOKUP(A375,Descargas!$B$3:$I$94,6,FALSE),0)</f>
        <v>0</v>
      </c>
      <c r="L375" s="266">
        <f>IFERROR( VLOOKUP(A375,Descargas!$B$3:$I$94,7,FALSE),0)</f>
        <v>0</v>
      </c>
      <c r="AB375" s="123">
        <f t="shared" si="33"/>
        <v>0</v>
      </c>
      <c r="AC375" s="123">
        <f t="shared" si="33"/>
        <v>0</v>
      </c>
      <c r="AD375" s="123">
        <f t="shared" si="33"/>
        <v>0</v>
      </c>
      <c r="AE375" s="123">
        <f t="shared" si="31"/>
        <v>0</v>
      </c>
      <c r="AF375" s="123">
        <f t="shared" si="31"/>
        <v>0</v>
      </c>
      <c r="AG375" s="123">
        <f t="shared" si="31"/>
        <v>0</v>
      </c>
      <c r="AH375" s="122">
        <f t="shared" si="34"/>
        <v>0</v>
      </c>
    </row>
    <row r="376" spans="1:34" s="86" customFormat="1" ht="15.75">
      <c r="A376" s="125">
        <v>107</v>
      </c>
      <c r="B376" s="286">
        <f>IFERROR(VLOOKUP(A376,Cargas!$B$3:$I$93,9,FALSE),0)</f>
        <v>0</v>
      </c>
      <c r="C376" s="127" t="s">
        <v>173</v>
      </c>
      <c r="D376" s="271">
        <f t="shared" si="36"/>
        <v>0</v>
      </c>
      <c r="E376" s="268">
        <f t="shared" si="35"/>
        <v>0</v>
      </c>
      <c r="F376" s="266"/>
      <c r="G376" s="266"/>
      <c r="H376" s="266">
        <f>IFERROR( VLOOKUP(A376,Descargas!$B$3:$I$94,3,FALSE),0)</f>
        <v>0</v>
      </c>
      <c r="I376" s="266">
        <f>IFERROR( VLOOKUP(A376,Descargas!$B$3:$I$94,4,FALSE),0)</f>
        <v>0</v>
      </c>
      <c r="J376" s="266">
        <f>IFERROR( VLOOKUP(A376,Descargas!$B$3:$I$94,5,FALSE),0)</f>
        <v>0</v>
      </c>
      <c r="K376" s="266">
        <f>IFERROR( VLOOKUP(A376,Descargas!$B$3:$I$94,6,FALSE),0)</f>
        <v>0</v>
      </c>
      <c r="L376" s="266">
        <f>IFERROR( VLOOKUP(A376,Descargas!$B$3:$I$94,7,FALSE),0)</f>
        <v>0</v>
      </c>
      <c r="AB376" s="123">
        <f t="shared" si="33"/>
        <v>0</v>
      </c>
      <c r="AC376" s="123">
        <f t="shared" si="33"/>
        <v>0</v>
      </c>
      <c r="AD376" s="123">
        <f t="shared" si="33"/>
        <v>0</v>
      </c>
      <c r="AE376" s="123">
        <f t="shared" si="31"/>
        <v>0</v>
      </c>
      <c r="AF376" s="123">
        <f t="shared" si="31"/>
        <v>0</v>
      </c>
      <c r="AG376" s="123">
        <f t="shared" si="31"/>
        <v>0</v>
      </c>
      <c r="AH376" s="122">
        <f t="shared" si="34"/>
        <v>0</v>
      </c>
    </row>
    <row r="377" spans="1:34" s="86" customFormat="1" ht="15.75">
      <c r="A377" s="125">
        <v>108</v>
      </c>
      <c r="B377" s="286">
        <f>IFERROR(VLOOKUP(A377,Cargas!$B$3:$I$93,9,FALSE),0)</f>
        <v>0</v>
      </c>
      <c r="C377" s="127" t="s">
        <v>56</v>
      </c>
      <c r="D377" s="271">
        <f t="shared" si="36"/>
        <v>0</v>
      </c>
      <c r="E377" s="268">
        <f t="shared" si="35"/>
        <v>0</v>
      </c>
      <c r="F377" s="266"/>
      <c r="G377" s="266"/>
      <c r="H377" s="266">
        <f>IFERROR( VLOOKUP(A377,Descargas!$B$3:$I$94,3,FALSE),0)</f>
        <v>0</v>
      </c>
      <c r="I377" s="266">
        <f>IFERROR( VLOOKUP(A377,Descargas!$B$3:$I$94,4,FALSE),0)</f>
        <v>0</v>
      </c>
      <c r="J377" s="266">
        <f>IFERROR( VLOOKUP(A377,Descargas!$B$3:$I$94,5,FALSE),0)</f>
        <v>0</v>
      </c>
      <c r="K377" s="266">
        <f>IFERROR( VLOOKUP(A377,Descargas!$B$3:$I$94,6,FALSE),0)</f>
        <v>0</v>
      </c>
      <c r="L377" s="266">
        <f>IFERROR( VLOOKUP(A377,Descargas!$B$3:$I$94,7,FALSE),0)</f>
        <v>0</v>
      </c>
      <c r="AB377" s="123">
        <f t="shared" si="33"/>
        <v>0</v>
      </c>
      <c r="AC377" s="123">
        <f t="shared" si="33"/>
        <v>0</v>
      </c>
      <c r="AD377" s="123">
        <f t="shared" si="33"/>
        <v>0</v>
      </c>
      <c r="AE377" s="123">
        <f t="shared" si="31"/>
        <v>0</v>
      </c>
      <c r="AF377" s="123">
        <f t="shared" si="31"/>
        <v>0</v>
      </c>
      <c r="AG377" s="123">
        <f t="shared" si="31"/>
        <v>0</v>
      </c>
      <c r="AH377" s="122">
        <f t="shared" si="34"/>
        <v>0</v>
      </c>
    </row>
    <row r="378" spans="1:34" s="86" customFormat="1" ht="15.75">
      <c r="A378" s="125">
        <v>109</v>
      </c>
      <c r="B378" s="286">
        <f>IFERROR(VLOOKUP(A378,Cargas!$B$3:$I$93,9,FALSE),0)</f>
        <v>0</v>
      </c>
      <c r="C378" s="127" t="s">
        <v>57</v>
      </c>
      <c r="D378" s="271">
        <f t="shared" si="36"/>
        <v>0</v>
      </c>
      <c r="E378" s="268">
        <f t="shared" si="35"/>
        <v>0</v>
      </c>
      <c r="F378" s="266"/>
      <c r="G378" s="266"/>
      <c r="H378" s="266">
        <f>IFERROR( VLOOKUP(A378,Descargas!$B$3:$I$94,3,FALSE),0)</f>
        <v>0</v>
      </c>
      <c r="I378" s="266">
        <f>IFERROR( VLOOKUP(A378,Descargas!$B$3:$I$94,4,FALSE),0)</f>
        <v>0</v>
      </c>
      <c r="J378" s="266">
        <f>IFERROR( VLOOKUP(A378,Descargas!$B$3:$I$94,5,FALSE),0)</f>
        <v>0</v>
      </c>
      <c r="K378" s="266">
        <f>IFERROR( VLOOKUP(A378,Descargas!$B$3:$I$94,6,FALSE),0)</f>
        <v>0</v>
      </c>
      <c r="L378" s="266">
        <f>IFERROR( VLOOKUP(A378,Descargas!$B$3:$I$94,7,FALSE),0)</f>
        <v>0</v>
      </c>
      <c r="AB378" s="123">
        <f t="shared" si="33"/>
        <v>0</v>
      </c>
      <c r="AC378" s="123">
        <f t="shared" si="33"/>
        <v>0</v>
      </c>
      <c r="AD378" s="123">
        <f t="shared" si="33"/>
        <v>0</v>
      </c>
      <c r="AE378" s="123">
        <f t="shared" si="31"/>
        <v>0</v>
      </c>
      <c r="AF378" s="123">
        <f t="shared" si="31"/>
        <v>0</v>
      </c>
      <c r="AG378" s="123">
        <f t="shared" si="31"/>
        <v>0</v>
      </c>
      <c r="AH378" s="122">
        <f t="shared" si="34"/>
        <v>0</v>
      </c>
    </row>
    <row r="379" spans="1:34" ht="15.75">
      <c r="A379" s="125">
        <v>110</v>
      </c>
      <c r="B379" s="286">
        <f>IFERROR(VLOOKUP(A379,Cargas!$B$3:$I$93,9,FALSE),0)</f>
        <v>0</v>
      </c>
      <c r="C379" s="127" t="s">
        <v>58</v>
      </c>
      <c r="D379" s="271">
        <f t="shared" si="36"/>
        <v>0</v>
      </c>
      <c r="E379" s="268">
        <f t="shared" si="35"/>
        <v>0</v>
      </c>
      <c r="F379" s="266"/>
      <c r="G379" s="266"/>
      <c r="H379" s="266">
        <f>IFERROR( VLOOKUP(A379,Descargas!$B$3:$I$94,3,FALSE),0)</f>
        <v>0</v>
      </c>
      <c r="I379" s="266">
        <f>IFERROR( VLOOKUP(A379,Descargas!$B$3:$I$94,4,FALSE),0)</f>
        <v>0</v>
      </c>
      <c r="J379" s="266">
        <f>IFERROR( VLOOKUP(A379,Descargas!$B$3:$I$94,5,FALSE),0)</f>
        <v>0</v>
      </c>
      <c r="K379" s="266">
        <f>IFERROR( VLOOKUP(A379,Descargas!$B$3:$I$94,6,FALSE),0)</f>
        <v>0</v>
      </c>
      <c r="L379" s="266">
        <f>IFERROR( VLOOKUP(A379,Descargas!$B$3:$I$94,7,FALSE),0)</f>
        <v>0</v>
      </c>
      <c r="AB379" s="123">
        <f t="shared" si="33"/>
        <v>0</v>
      </c>
      <c r="AC379" s="123">
        <f t="shared" si="33"/>
        <v>0</v>
      </c>
      <c r="AD379" s="123">
        <f t="shared" si="33"/>
        <v>0</v>
      </c>
      <c r="AE379" s="123">
        <f t="shared" si="31"/>
        <v>0</v>
      </c>
      <c r="AF379" s="123">
        <f t="shared" si="31"/>
        <v>0</v>
      </c>
      <c r="AG379" s="123">
        <f t="shared" si="31"/>
        <v>0</v>
      </c>
      <c r="AH379" s="122">
        <f t="shared" si="34"/>
        <v>0</v>
      </c>
    </row>
    <row r="380" spans="1:34" s="86" customFormat="1" ht="15.75">
      <c r="A380" s="125">
        <v>111</v>
      </c>
      <c r="B380" s="286">
        <f>IFERROR(VLOOKUP(A380,Cargas!$B$3:$I$93,9,FALSE),0)</f>
        <v>0</v>
      </c>
      <c r="C380" s="127" t="s">
        <v>174</v>
      </c>
      <c r="D380" s="271">
        <f t="shared" si="36"/>
        <v>0</v>
      </c>
      <c r="E380" s="268">
        <f>+SUM(H380:L380)</f>
        <v>0</v>
      </c>
      <c r="F380" s="266"/>
      <c r="G380" s="266"/>
      <c r="H380" s="266">
        <f>IFERROR( VLOOKUP(A380,Descargas!$B$3:$I$94,3,FALSE),0)</f>
        <v>0</v>
      </c>
      <c r="I380" s="266">
        <f>IFERROR( VLOOKUP(A380,Descargas!$B$3:$I$94,4,FALSE),0)</f>
        <v>0</v>
      </c>
      <c r="J380" s="266">
        <f>IFERROR( VLOOKUP(A380,Descargas!$B$3:$I$94,5,FALSE),0)</f>
        <v>0</v>
      </c>
      <c r="K380" s="266">
        <f>IFERROR( VLOOKUP(A380,Descargas!$B$3:$I$94,6,FALSE),0)</f>
        <v>0</v>
      </c>
      <c r="L380" s="266">
        <f>IFERROR( VLOOKUP(A380,Descargas!$B$3:$I$94,7,FALSE),0)</f>
        <v>0</v>
      </c>
      <c r="AB380" s="123">
        <f t="shared" si="33"/>
        <v>0</v>
      </c>
      <c r="AC380" s="123">
        <f t="shared" si="33"/>
        <v>0</v>
      </c>
      <c r="AD380" s="123">
        <f t="shared" si="33"/>
        <v>0</v>
      </c>
      <c r="AE380" s="123">
        <f t="shared" si="31"/>
        <v>0</v>
      </c>
      <c r="AF380" s="123">
        <f t="shared" si="31"/>
        <v>0</v>
      </c>
      <c r="AG380" s="123">
        <f t="shared" si="31"/>
        <v>0</v>
      </c>
      <c r="AH380" s="122">
        <f t="shared" si="34"/>
        <v>0</v>
      </c>
    </row>
    <row r="381" spans="1:34" ht="15.75">
      <c r="A381" s="125">
        <v>112</v>
      </c>
      <c r="B381" s="286">
        <f>IFERROR(VLOOKUP(A381,Cargas!$B$3:$I$93,9,FALSE),0)</f>
        <v>0</v>
      </c>
      <c r="C381" s="127" t="s">
        <v>59</v>
      </c>
      <c r="D381" s="271">
        <f t="shared" si="36"/>
        <v>0</v>
      </c>
      <c r="E381" s="268">
        <f t="shared" si="35"/>
        <v>0</v>
      </c>
      <c r="F381" s="266"/>
      <c r="G381" s="266"/>
      <c r="H381" s="266">
        <f>IFERROR( VLOOKUP(A381,Descargas!$B$3:$I$94,3,FALSE),0)</f>
        <v>0</v>
      </c>
      <c r="I381" s="266">
        <f>IFERROR( VLOOKUP(A381,Descargas!$B$3:$I$94,4,FALSE),0)</f>
        <v>0</v>
      </c>
      <c r="J381" s="266">
        <f>IFERROR( VLOOKUP(A381,Descargas!$B$3:$I$94,5,FALSE),0)</f>
        <v>0</v>
      </c>
      <c r="K381" s="266">
        <f>IFERROR( VLOOKUP(A381,Descargas!$B$3:$I$94,6,FALSE),0)</f>
        <v>0</v>
      </c>
      <c r="L381" s="266">
        <f>IFERROR( VLOOKUP(A381,Descargas!$B$3:$I$94,7,FALSE),0)</f>
        <v>0</v>
      </c>
      <c r="AB381" s="123">
        <f t="shared" si="33"/>
        <v>0</v>
      </c>
      <c r="AC381" s="123">
        <f t="shared" si="33"/>
        <v>0</v>
      </c>
      <c r="AD381" s="123">
        <f t="shared" si="33"/>
        <v>0</v>
      </c>
      <c r="AE381" s="123">
        <f t="shared" si="31"/>
        <v>0</v>
      </c>
      <c r="AF381" s="123">
        <f t="shared" si="31"/>
        <v>0</v>
      </c>
      <c r="AG381" s="123">
        <f t="shared" si="31"/>
        <v>0</v>
      </c>
      <c r="AH381" s="122">
        <f t="shared" si="34"/>
        <v>0</v>
      </c>
    </row>
    <row r="382" spans="1:34" s="86" customFormat="1" ht="15.75">
      <c r="A382" s="125">
        <v>113</v>
      </c>
      <c r="B382" s="286">
        <f>IFERROR(VLOOKUP(A382,Cargas!$B$3:$I$93,9,FALSE),0)</f>
        <v>0</v>
      </c>
      <c r="C382" s="127" t="s">
        <v>60</v>
      </c>
      <c r="D382" s="271">
        <f t="shared" si="36"/>
        <v>0</v>
      </c>
      <c r="E382" s="268">
        <f t="shared" si="35"/>
        <v>0</v>
      </c>
      <c r="F382" s="266"/>
      <c r="G382" s="266"/>
      <c r="H382" s="266">
        <f>IFERROR( VLOOKUP(A382,Descargas!$B$3:$I$94,3,FALSE),0)</f>
        <v>0</v>
      </c>
      <c r="I382" s="266">
        <f>IFERROR( VLOOKUP(A382,Descargas!$B$3:$I$94,4,FALSE),0)</f>
        <v>0</v>
      </c>
      <c r="J382" s="266">
        <f>IFERROR( VLOOKUP(A382,Descargas!$B$3:$I$94,5,FALSE),0)</f>
        <v>0</v>
      </c>
      <c r="K382" s="266">
        <f>IFERROR( VLOOKUP(A382,Descargas!$B$3:$I$94,6,FALSE),0)</f>
        <v>0</v>
      </c>
      <c r="L382" s="266">
        <f>IFERROR( VLOOKUP(A382,Descargas!$B$3:$I$94,7,FALSE),0)</f>
        <v>0</v>
      </c>
      <c r="AB382" s="123">
        <f t="shared" si="33"/>
        <v>0</v>
      </c>
      <c r="AC382" s="123">
        <f t="shared" si="33"/>
        <v>0</v>
      </c>
      <c r="AD382" s="123">
        <f t="shared" si="33"/>
        <v>0</v>
      </c>
      <c r="AE382" s="123">
        <f t="shared" si="31"/>
        <v>0</v>
      </c>
      <c r="AF382" s="123">
        <f t="shared" si="31"/>
        <v>0</v>
      </c>
      <c r="AG382" s="123">
        <f t="shared" si="31"/>
        <v>0</v>
      </c>
      <c r="AH382" s="122">
        <f t="shared" si="34"/>
        <v>0</v>
      </c>
    </row>
    <row r="383" spans="1:34" s="86" customFormat="1" ht="15.75">
      <c r="A383" s="125">
        <v>114</v>
      </c>
      <c r="B383" s="286">
        <f>IFERROR(VLOOKUP(A383,Cargas!$B$3:$I$93,9,FALSE),0)</f>
        <v>0</v>
      </c>
      <c r="C383" s="127" t="s">
        <v>61</v>
      </c>
      <c r="D383" s="271">
        <f t="shared" si="36"/>
        <v>0</v>
      </c>
      <c r="E383" s="268">
        <f t="shared" si="35"/>
        <v>0</v>
      </c>
      <c r="F383" s="266"/>
      <c r="G383" s="266"/>
      <c r="H383" s="266">
        <f>IFERROR( VLOOKUP(A383,Descargas!$B$3:$I$94,3,FALSE),0)</f>
        <v>0</v>
      </c>
      <c r="I383" s="266">
        <f>IFERROR( VLOOKUP(A383,Descargas!$B$3:$I$94,4,FALSE),0)</f>
        <v>0</v>
      </c>
      <c r="J383" s="266">
        <f>IFERROR( VLOOKUP(A383,Descargas!$B$3:$I$94,5,FALSE),0)</f>
        <v>0</v>
      </c>
      <c r="K383" s="266">
        <f>IFERROR( VLOOKUP(A383,Descargas!$B$3:$I$94,6,FALSE),0)</f>
        <v>0</v>
      </c>
      <c r="L383" s="266">
        <f>IFERROR( VLOOKUP(A383,Descargas!$B$3:$I$94,7,FALSE),0)</f>
        <v>0</v>
      </c>
      <c r="AB383" s="123">
        <f t="shared" si="33"/>
        <v>0</v>
      </c>
      <c r="AC383" s="123">
        <f t="shared" si="33"/>
        <v>0</v>
      </c>
      <c r="AD383" s="123">
        <f t="shared" si="33"/>
        <v>0</v>
      </c>
      <c r="AE383" s="123">
        <f t="shared" si="31"/>
        <v>0</v>
      </c>
      <c r="AF383" s="123">
        <f t="shared" si="31"/>
        <v>0</v>
      </c>
      <c r="AG383" s="123">
        <f t="shared" si="31"/>
        <v>0</v>
      </c>
      <c r="AH383" s="122">
        <f t="shared" si="34"/>
        <v>0</v>
      </c>
    </row>
    <row r="384" spans="1:34" ht="15.75">
      <c r="A384" s="125">
        <v>115</v>
      </c>
      <c r="B384" s="286">
        <f>IFERROR(VLOOKUP(A384,Cargas!$B$3:$I$93,9,FALSE),0)</f>
        <v>0</v>
      </c>
      <c r="C384" s="127" t="s">
        <v>62</v>
      </c>
      <c r="D384" s="271">
        <f t="shared" si="36"/>
        <v>0</v>
      </c>
      <c r="E384" s="268">
        <f t="shared" si="35"/>
        <v>0</v>
      </c>
      <c r="F384" s="266"/>
      <c r="G384" s="266"/>
      <c r="H384" s="266">
        <f>IFERROR( VLOOKUP(A384,Descargas!$B$3:$I$94,3,FALSE),0)</f>
        <v>0</v>
      </c>
      <c r="I384" s="266">
        <f>IFERROR( VLOOKUP(A384,Descargas!$B$3:$I$94,4,FALSE),0)</f>
        <v>0</v>
      </c>
      <c r="J384" s="266">
        <f>IFERROR( VLOOKUP(A384,Descargas!$B$3:$I$94,5,FALSE),0)</f>
        <v>0</v>
      </c>
      <c r="K384" s="266">
        <f>IFERROR( VLOOKUP(A384,Descargas!$B$3:$I$94,6,FALSE),0)</f>
        <v>0</v>
      </c>
      <c r="L384" s="266">
        <f>IFERROR( VLOOKUP(A384,Descargas!$B$3:$I$94,7,FALSE),0)</f>
        <v>0</v>
      </c>
      <c r="AB384" s="123">
        <f t="shared" si="33"/>
        <v>0</v>
      </c>
      <c r="AC384" s="123">
        <f t="shared" si="33"/>
        <v>0</v>
      </c>
      <c r="AD384" s="123">
        <f t="shared" si="33"/>
        <v>0</v>
      </c>
      <c r="AE384" s="123">
        <f t="shared" si="31"/>
        <v>0</v>
      </c>
      <c r="AF384" s="123">
        <f t="shared" si="31"/>
        <v>0</v>
      </c>
      <c r="AG384" s="123">
        <f t="shared" si="31"/>
        <v>0</v>
      </c>
      <c r="AH384" s="122">
        <f t="shared" si="34"/>
        <v>0</v>
      </c>
    </row>
    <row r="385" spans="1:34" s="86" customFormat="1" ht="15.75">
      <c r="A385" s="125">
        <v>116</v>
      </c>
      <c r="B385" s="286">
        <f>IFERROR(VLOOKUP(A385,Cargas!$B$3:$I$93,9,FALSE),0)</f>
        <v>0</v>
      </c>
      <c r="C385" s="127" t="s">
        <v>63</v>
      </c>
      <c r="D385" s="271">
        <f t="shared" si="36"/>
        <v>0</v>
      </c>
      <c r="E385" s="268">
        <f>+SUM(H385:L385)</f>
        <v>0</v>
      </c>
      <c r="F385" s="266"/>
      <c r="G385" s="266"/>
      <c r="H385" s="266">
        <f>IFERROR( VLOOKUP(A385,Descargas!$B$3:$I$94,3,FALSE),0)</f>
        <v>0</v>
      </c>
      <c r="I385" s="266">
        <f>IFERROR( VLOOKUP(A385,Descargas!$B$3:$I$94,4,FALSE),0)</f>
        <v>0</v>
      </c>
      <c r="J385" s="266">
        <f>IFERROR( VLOOKUP(A385,Descargas!$B$3:$I$94,5,FALSE),0)</f>
        <v>0</v>
      </c>
      <c r="K385" s="266">
        <f>IFERROR( VLOOKUP(A385,Descargas!$B$3:$I$94,6,FALSE),0)</f>
        <v>0</v>
      </c>
      <c r="L385" s="266">
        <f>IFERROR( VLOOKUP(A385,Descargas!$B$3:$I$94,7,FALSE),0)</f>
        <v>0</v>
      </c>
      <c r="AB385" s="123">
        <f t="shared" si="33"/>
        <v>0</v>
      </c>
      <c r="AC385" s="123">
        <f t="shared" si="33"/>
        <v>0</v>
      </c>
      <c r="AD385" s="123">
        <f t="shared" si="33"/>
        <v>0</v>
      </c>
      <c r="AE385" s="123">
        <f t="shared" si="31"/>
        <v>0</v>
      </c>
      <c r="AF385" s="123">
        <f t="shared" si="31"/>
        <v>0</v>
      </c>
      <c r="AG385" s="123">
        <f t="shared" si="31"/>
        <v>0</v>
      </c>
      <c r="AH385" s="122">
        <f t="shared" si="34"/>
        <v>0</v>
      </c>
    </row>
    <row r="386" spans="1:34" s="86" customFormat="1" ht="15.75">
      <c r="A386" s="125">
        <v>117</v>
      </c>
      <c r="B386" s="286">
        <f>IFERROR(VLOOKUP(A386,Cargas!$B$3:$I$93,9,FALSE),0)</f>
        <v>0</v>
      </c>
      <c r="C386" s="127" t="s">
        <v>64</v>
      </c>
      <c r="D386" s="271">
        <f t="shared" si="36"/>
        <v>0</v>
      </c>
      <c r="E386" s="268">
        <f>+SUM(H386:L386)</f>
        <v>0</v>
      </c>
      <c r="F386" s="266"/>
      <c r="G386" s="266"/>
      <c r="H386" s="266">
        <f>IFERROR( VLOOKUP(A386,Descargas!$B$3:$I$94,3,FALSE),0)</f>
        <v>0</v>
      </c>
      <c r="I386" s="266">
        <f>IFERROR( VLOOKUP(A386,Descargas!$B$3:$I$94,4,FALSE),0)</f>
        <v>0</v>
      </c>
      <c r="J386" s="266">
        <f>IFERROR( VLOOKUP(A386,Descargas!$B$3:$I$94,5,FALSE),0)</f>
        <v>0</v>
      </c>
      <c r="K386" s="266">
        <f>IFERROR( VLOOKUP(A386,Descargas!$B$3:$I$94,6,FALSE),0)</f>
        <v>0</v>
      </c>
      <c r="L386" s="266">
        <f>IFERROR( VLOOKUP(A386,Descargas!$B$3:$I$94,7,FALSE),0)</f>
        <v>0</v>
      </c>
      <c r="AB386" s="123">
        <f t="shared" si="33"/>
        <v>0</v>
      </c>
      <c r="AC386" s="123">
        <f t="shared" si="33"/>
        <v>0</v>
      </c>
      <c r="AD386" s="123">
        <f t="shared" si="33"/>
        <v>0</v>
      </c>
      <c r="AE386" s="123">
        <f t="shared" si="31"/>
        <v>0</v>
      </c>
      <c r="AF386" s="123">
        <f t="shared" si="31"/>
        <v>0</v>
      </c>
      <c r="AG386" s="123">
        <f t="shared" si="31"/>
        <v>0</v>
      </c>
      <c r="AH386" s="122">
        <f t="shared" si="34"/>
        <v>0</v>
      </c>
    </row>
    <row r="387" spans="1:34" s="86" customFormat="1" ht="15.75">
      <c r="A387" s="125">
        <v>118</v>
      </c>
      <c r="B387" s="286">
        <f>IFERROR(VLOOKUP(A387,Cargas!$B$3:$I$93,9,FALSE),0)</f>
        <v>0</v>
      </c>
      <c r="C387" s="127" t="s">
        <v>69</v>
      </c>
      <c r="D387" s="271">
        <f t="shared" si="36"/>
        <v>0</v>
      </c>
      <c r="E387" s="268">
        <f t="shared" si="35"/>
        <v>0</v>
      </c>
      <c r="F387" s="266"/>
      <c r="G387" s="266"/>
      <c r="H387" s="266">
        <f>IFERROR( VLOOKUP(A387,Descargas!$B$3:$I$94,3,FALSE),0)</f>
        <v>0</v>
      </c>
      <c r="I387" s="266">
        <f>IFERROR( VLOOKUP(A387,Descargas!$B$3:$I$94,4,FALSE),0)</f>
        <v>0</v>
      </c>
      <c r="J387" s="266">
        <f>IFERROR( VLOOKUP(A387,Descargas!$B$3:$I$94,5,FALSE),0)</f>
        <v>0</v>
      </c>
      <c r="K387" s="266">
        <f>IFERROR( VLOOKUP(A387,Descargas!$B$3:$I$94,6,FALSE),0)</f>
        <v>0</v>
      </c>
      <c r="L387" s="266">
        <f>IFERROR( VLOOKUP(A387,Descargas!$B$3:$I$94,7,FALSE),0)</f>
        <v>0</v>
      </c>
      <c r="AB387" s="123">
        <f t="shared" si="33"/>
        <v>0</v>
      </c>
      <c r="AC387" s="123">
        <f t="shared" si="33"/>
        <v>0</v>
      </c>
      <c r="AD387" s="123">
        <f t="shared" si="33"/>
        <v>0</v>
      </c>
      <c r="AE387" s="123">
        <f t="shared" si="31"/>
        <v>0</v>
      </c>
      <c r="AF387" s="123">
        <f t="shared" si="31"/>
        <v>0</v>
      </c>
      <c r="AG387" s="123">
        <f t="shared" si="31"/>
        <v>0</v>
      </c>
      <c r="AH387" s="122">
        <f t="shared" si="34"/>
        <v>0</v>
      </c>
    </row>
    <row r="388" spans="1:34" s="86" customFormat="1" ht="15.75">
      <c r="A388" s="125">
        <v>119</v>
      </c>
      <c r="B388" s="286">
        <f>IFERROR(VLOOKUP(A388,Cargas!$B$3:$I$93,9,FALSE),0)</f>
        <v>0</v>
      </c>
      <c r="C388" s="127" t="s">
        <v>70</v>
      </c>
      <c r="D388" s="271">
        <f t="shared" si="36"/>
        <v>0</v>
      </c>
      <c r="E388" s="268">
        <f t="shared" si="35"/>
        <v>0</v>
      </c>
      <c r="F388" s="266"/>
      <c r="G388" s="266"/>
      <c r="H388" s="266">
        <f>IFERROR( VLOOKUP(A388,Descargas!$B$3:$I$94,3,FALSE),0)</f>
        <v>0</v>
      </c>
      <c r="I388" s="266">
        <f>IFERROR( VLOOKUP(A388,Descargas!$B$3:$I$94,4,FALSE),0)</f>
        <v>0</v>
      </c>
      <c r="J388" s="266">
        <f>IFERROR( VLOOKUP(A388,Descargas!$B$3:$I$94,5,FALSE),0)</f>
        <v>0</v>
      </c>
      <c r="K388" s="266">
        <f>IFERROR( VLOOKUP(A388,Descargas!$B$3:$I$94,6,FALSE),0)</f>
        <v>0</v>
      </c>
      <c r="L388" s="266">
        <f>IFERROR( VLOOKUP(A388,Descargas!$B$3:$I$94,7,FALSE),0)</f>
        <v>0</v>
      </c>
      <c r="AB388" s="123">
        <f t="shared" si="33"/>
        <v>0</v>
      </c>
      <c r="AC388" s="123">
        <f t="shared" si="33"/>
        <v>0</v>
      </c>
      <c r="AD388" s="123">
        <f t="shared" si="33"/>
        <v>0</v>
      </c>
      <c r="AE388" s="123">
        <f t="shared" si="31"/>
        <v>0</v>
      </c>
      <c r="AF388" s="123">
        <f t="shared" si="31"/>
        <v>0</v>
      </c>
      <c r="AG388" s="123">
        <f t="shared" si="31"/>
        <v>0</v>
      </c>
      <c r="AH388" s="122">
        <f t="shared" si="34"/>
        <v>0</v>
      </c>
    </row>
    <row r="389" spans="1:34" ht="15.75">
      <c r="A389" s="125">
        <v>120</v>
      </c>
      <c r="B389" s="286">
        <f>IFERROR(VLOOKUP(A389,Cargas!$B$3:$I$93,9,FALSE),0)</f>
        <v>0</v>
      </c>
      <c r="C389" s="127" t="s">
        <v>175</v>
      </c>
      <c r="D389" s="271">
        <f t="shared" si="36"/>
        <v>0</v>
      </c>
      <c r="E389" s="268">
        <f t="shared" si="35"/>
        <v>0</v>
      </c>
      <c r="F389" s="266"/>
      <c r="G389" s="266"/>
      <c r="H389" s="266">
        <f>IFERROR( VLOOKUP(A389,Descargas!$B$3:$I$94,3,FALSE),0)</f>
        <v>0</v>
      </c>
      <c r="I389" s="266">
        <f>IFERROR( VLOOKUP(A389,Descargas!$B$3:$I$94,4,FALSE),0)</f>
        <v>0</v>
      </c>
      <c r="J389" s="266">
        <f>IFERROR( VLOOKUP(A389,Descargas!$B$3:$I$94,5,FALSE),0)</f>
        <v>0</v>
      </c>
      <c r="K389" s="266">
        <f>IFERROR( VLOOKUP(A389,Descargas!$B$3:$I$94,6,FALSE),0)</f>
        <v>0</v>
      </c>
      <c r="L389" s="266">
        <f>IFERROR( VLOOKUP(A389,Descargas!$B$3:$I$94,7,FALSE),0)</f>
        <v>0</v>
      </c>
      <c r="AB389" s="123">
        <f t="shared" si="33"/>
        <v>0</v>
      </c>
      <c r="AC389" s="123">
        <f t="shared" si="33"/>
        <v>0</v>
      </c>
      <c r="AD389" s="123">
        <f t="shared" si="33"/>
        <v>0</v>
      </c>
      <c r="AE389" s="123">
        <f t="shared" si="31"/>
        <v>0</v>
      </c>
      <c r="AF389" s="123">
        <f t="shared" si="31"/>
        <v>0</v>
      </c>
      <c r="AG389" s="123">
        <f t="shared" si="31"/>
        <v>0</v>
      </c>
      <c r="AH389" s="122">
        <f t="shared" si="34"/>
        <v>0</v>
      </c>
    </row>
    <row r="390" spans="1:34" s="86" customFormat="1" ht="15.75">
      <c r="A390" s="125">
        <v>121</v>
      </c>
      <c r="B390" s="286">
        <f>IFERROR(VLOOKUP(A390,Cargas!$B$3:$I$93,9,FALSE),0)</f>
        <v>0</v>
      </c>
      <c r="C390" s="127" t="s">
        <v>176</v>
      </c>
      <c r="D390" s="271">
        <f t="shared" si="36"/>
        <v>0</v>
      </c>
      <c r="E390" s="268">
        <f t="shared" si="35"/>
        <v>0</v>
      </c>
      <c r="F390" s="266"/>
      <c r="G390" s="266"/>
      <c r="H390" s="266">
        <f>IFERROR( VLOOKUP(A390,Descargas!$B$3:$I$94,3,FALSE),0)</f>
        <v>0</v>
      </c>
      <c r="I390" s="266">
        <f>IFERROR( VLOOKUP(A390,Descargas!$B$3:$I$94,4,FALSE),0)</f>
        <v>0</v>
      </c>
      <c r="J390" s="266">
        <f>IFERROR( VLOOKUP(A390,Descargas!$B$3:$I$94,5,FALSE),0)</f>
        <v>0</v>
      </c>
      <c r="K390" s="266">
        <f>IFERROR( VLOOKUP(A390,Descargas!$B$3:$I$94,6,FALSE),0)</f>
        <v>0</v>
      </c>
      <c r="L390" s="266">
        <f>IFERROR( VLOOKUP(A390,Descargas!$B$3:$I$94,7,FALSE),0)</f>
        <v>0</v>
      </c>
      <c r="AB390" s="123">
        <f t="shared" si="33"/>
        <v>0</v>
      </c>
      <c r="AC390" s="123">
        <f t="shared" si="33"/>
        <v>0</v>
      </c>
      <c r="AD390" s="123">
        <f t="shared" si="33"/>
        <v>0</v>
      </c>
      <c r="AE390" s="123">
        <f t="shared" si="31"/>
        <v>0</v>
      </c>
      <c r="AF390" s="123">
        <f t="shared" si="31"/>
        <v>0</v>
      </c>
      <c r="AG390" s="123">
        <f t="shared" si="31"/>
        <v>0</v>
      </c>
      <c r="AH390" s="122">
        <f t="shared" si="34"/>
        <v>0</v>
      </c>
    </row>
    <row r="391" spans="1:34" s="86" customFormat="1" ht="15.75">
      <c r="A391" s="125">
        <v>122</v>
      </c>
      <c r="B391" s="286">
        <f>IFERROR(VLOOKUP(A391,Cargas!$B$3:$I$93,9,FALSE),0)</f>
        <v>0</v>
      </c>
      <c r="C391" s="127" t="s">
        <v>71</v>
      </c>
      <c r="D391" s="271">
        <f t="shared" si="36"/>
        <v>0</v>
      </c>
      <c r="E391" s="268">
        <f t="shared" si="35"/>
        <v>0</v>
      </c>
      <c r="F391" s="266"/>
      <c r="G391" s="266"/>
      <c r="H391" s="266">
        <f>IFERROR( VLOOKUP(A391,Descargas!$B$3:$I$94,3,FALSE),0)</f>
        <v>0</v>
      </c>
      <c r="I391" s="266">
        <f>IFERROR( VLOOKUP(A391,Descargas!$B$3:$I$94,4,FALSE),0)</f>
        <v>0</v>
      </c>
      <c r="J391" s="266">
        <f>IFERROR( VLOOKUP(A391,Descargas!$B$3:$I$94,5,FALSE),0)</f>
        <v>0</v>
      </c>
      <c r="K391" s="266">
        <f>IFERROR( VLOOKUP(A391,Descargas!$B$3:$I$94,6,FALSE),0)</f>
        <v>0</v>
      </c>
      <c r="L391" s="266">
        <f>IFERROR( VLOOKUP(A391,Descargas!$B$3:$I$94,7,FALSE),0)</f>
        <v>0</v>
      </c>
      <c r="AB391" s="123">
        <f t="shared" si="33"/>
        <v>0</v>
      </c>
      <c r="AC391" s="123">
        <f t="shared" si="33"/>
        <v>0</v>
      </c>
      <c r="AD391" s="123">
        <f t="shared" si="33"/>
        <v>0</v>
      </c>
      <c r="AE391" s="123">
        <f t="shared" si="33"/>
        <v>0</v>
      </c>
      <c r="AF391" s="123">
        <f t="shared" si="33"/>
        <v>0</v>
      </c>
      <c r="AG391" s="123">
        <f t="shared" si="33"/>
        <v>0</v>
      </c>
      <c r="AH391" s="122">
        <f t="shared" si="34"/>
        <v>0</v>
      </c>
    </row>
    <row r="392" spans="1:34" s="86" customFormat="1" ht="15.75">
      <c r="A392" s="125">
        <v>124</v>
      </c>
      <c r="B392" s="286">
        <f>IFERROR(VLOOKUP(A392,Cargas!$B$3:$I$93,9,FALSE),0)</f>
        <v>0</v>
      </c>
      <c r="C392" s="127" t="s">
        <v>87</v>
      </c>
      <c r="D392" s="271">
        <f t="shared" ref="D392:D398" si="37">+SUM(H392:L392)</f>
        <v>0</v>
      </c>
      <c r="E392" s="268">
        <f t="shared" si="35"/>
        <v>0</v>
      </c>
      <c r="F392" s="266"/>
      <c r="G392" s="266"/>
      <c r="H392" s="266">
        <f>IFERROR( VLOOKUP(A392,Descargas!$B$3:$I$94,3,FALSE),0)</f>
        <v>0</v>
      </c>
      <c r="I392" s="266">
        <f>IFERROR( VLOOKUP(A392,Descargas!$B$3:$I$94,4,FALSE),0)</f>
        <v>0</v>
      </c>
      <c r="J392" s="266">
        <f>IFERROR( VLOOKUP(A392,Descargas!$B$3:$I$94,5,FALSE),0)</f>
        <v>0</v>
      </c>
      <c r="K392" s="266">
        <f>IFERROR( VLOOKUP(A392,Descargas!$B$3:$I$94,6,FALSE),0)</f>
        <v>0</v>
      </c>
      <c r="L392" s="266">
        <f>IFERROR( VLOOKUP(A392,Descargas!$B$3:$I$94,7,FALSE),0)</f>
        <v>0</v>
      </c>
      <c r="AB392" s="123">
        <f t="shared" ref="AB392:AG434" si="38">+G392/G$9</f>
        <v>0</v>
      </c>
      <c r="AC392" s="123">
        <f t="shared" si="38"/>
        <v>0</v>
      </c>
      <c r="AD392" s="123">
        <f t="shared" si="38"/>
        <v>0</v>
      </c>
      <c r="AE392" s="123">
        <f t="shared" si="38"/>
        <v>0</v>
      </c>
      <c r="AF392" s="123">
        <f t="shared" si="38"/>
        <v>0</v>
      </c>
      <c r="AG392" s="123">
        <f t="shared" si="38"/>
        <v>0</v>
      </c>
      <c r="AH392" s="122">
        <f t="shared" si="34"/>
        <v>0</v>
      </c>
    </row>
    <row r="393" spans="1:34" ht="15.75">
      <c r="A393" s="125">
        <v>125</v>
      </c>
      <c r="B393" s="286">
        <f>IFERROR(VLOOKUP(A393,Cargas!$B$3:$I$93,9,FALSE),0)</f>
        <v>0</v>
      </c>
      <c r="C393" s="127" t="s">
        <v>177</v>
      </c>
      <c r="D393" s="271">
        <f t="shared" si="37"/>
        <v>0</v>
      </c>
      <c r="E393" s="268">
        <f t="shared" si="35"/>
        <v>0</v>
      </c>
      <c r="F393" s="266"/>
      <c r="G393" s="266"/>
      <c r="H393" s="266">
        <f>IFERROR( VLOOKUP(A393,Descargas!$B$3:$I$94,3,FALSE),0)</f>
        <v>0</v>
      </c>
      <c r="I393" s="266">
        <f>IFERROR( VLOOKUP(A393,Descargas!$B$3:$I$94,4,FALSE),0)</f>
        <v>0</v>
      </c>
      <c r="J393" s="266">
        <f>IFERROR( VLOOKUP(A393,Descargas!$B$3:$I$94,5,FALSE),0)</f>
        <v>0</v>
      </c>
      <c r="K393" s="266">
        <f>IFERROR( VLOOKUP(A393,Descargas!$B$3:$I$94,6,FALSE),0)</f>
        <v>0</v>
      </c>
      <c r="L393" s="266">
        <f>IFERROR( VLOOKUP(A393,Descargas!$B$3:$I$94,7,FALSE),0)</f>
        <v>0</v>
      </c>
      <c r="AB393" s="123">
        <f t="shared" si="38"/>
        <v>0</v>
      </c>
      <c r="AC393" s="123">
        <f t="shared" si="38"/>
        <v>0</v>
      </c>
      <c r="AD393" s="123">
        <f t="shared" si="38"/>
        <v>0</v>
      </c>
      <c r="AE393" s="123">
        <f t="shared" si="38"/>
        <v>0</v>
      </c>
      <c r="AF393" s="123">
        <f t="shared" si="38"/>
        <v>0</v>
      </c>
      <c r="AG393" s="123">
        <f t="shared" si="38"/>
        <v>0</v>
      </c>
      <c r="AH393" s="122">
        <f t="shared" si="34"/>
        <v>0</v>
      </c>
    </row>
    <row r="394" spans="1:34" s="86" customFormat="1" ht="15.75">
      <c r="A394" s="125">
        <v>126</v>
      </c>
      <c r="B394" s="286">
        <f>IFERROR(VLOOKUP(A394,Cargas!$B$3:$I$93,9,FALSE),0)</f>
        <v>0</v>
      </c>
      <c r="C394" s="127" t="s">
        <v>73</v>
      </c>
      <c r="D394" s="271">
        <f t="shared" si="37"/>
        <v>0</v>
      </c>
      <c r="E394" s="268">
        <f t="shared" si="35"/>
        <v>0</v>
      </c>
      <c r="F394" s="266"/>
      <c r="G394" s="266"/>
      <c r="H394" s="266">
        <f>IFERROR( VLOOKUP(A394,Descargas!$B$3:$I$94,3,FALSE),0)</f>
        <v>0</v>
      </c>
      <c r="I394" s="266">
        <f>IFERROR( VLOOKUP(A394,Descargas!$B$3:$I$94,4,FALSE),0)</f>
        <v>0</v>
      </c>
      <c r="J394" s="266">
        <f>IFERROR( VLOOKUP(A394,Descargas!$B$3:$I$94,5,FALSE),0)</f>
        <v>0</v>
      </c>
      <c r="K394" s="266">
        <f>IFERROR( VLOOKUP(A394,Descargas!$B$3:$I$94,6,FALSE),0)</f>
        <v>0</v>
      </c>
      <c r="L394" s="266">
        <f>IFERROR( VLOOKUP(A394,Descargas!$B$3:$I$94,7,FALSE),0)</f>
        <v>0</v>
      </c>
      <c r="AB394" s="123">
        <f t="shared" si="38"/>
        <v>0</v>
      </c>
      <c r="AC394" s="123">
        <f t="shared" si="38"/>
        <v>0</v>
      </c>
      <c r="AD394" s="123">
        <f t="shared" si="38"/>
        <v>0</v>
      </c>
      <c r="AE394" s="123">
        <f t="shared" si="38"/>
        <v>0</v>
      </c>
      <c r="AF394" s="123">
        <f t="shared" si="38"/>
        <v>0</v>
      </c>
      <c r="AG394" s="123">
        <f t="shared" si="38"/>
        <v>0</v>
      </c>
      <c r="AH394" s="122">
        <f t="shared" si="34"/>
        <v>0</v>
      </c>
    </row>
    <row r="395" spans="1:34" ht="15.75">
      <c r="A395" s="125">
        <v>127</v>
      </c>
      <c r="B395" s="286">
        <f>IFERROR(VLOOKUP(A395,Cargas!$B$3:$I$93,9,FALSE),0)</f>
        <v>0</v>
      </c>
      <c r="C395" s="127" t="s">
        <v>178</v>
      </c>
      <c r="D395" s="271">
        <f t="shared" si="37"/>
        <v>0</v>
      </c>
      <c r="E395" s="268">
        <f t="shared" si="35"/>
        <v>0</v>
      </c>
      <c r="F395" s="266"/>
      <c r="G395" s="266"/>
      <c r="H395" s="266">
        <f>IFERROR( VLOOKUP(A395,Descargas!$B$3:$I$94,3,FALSE),0)</f>
        <v>0</v>
      </c>
      <c r="I395" s="266">
        <f>IFERROR( VLOOKUP(A395,Descargas!$B$3:$I$94,4,FALSE),0)</f>
        <v>0</v>
      </c>
      <c r="J395" s="266">
        <f>IFERROR( VLOOKUP(A395,Descargas!$B$3:$I$94,5,FALSE),0)</f>
        <v>0</v>
      </c>
      <c r="K395" s="266">
        <f>IFERROR( VLOOKUP(A395,Descargas!$B$3:$I$94,6,FALSE),0)</f>
        <v>0</v>
      </c>
      <c r="L395" s="266">
        <f>IFERROR( VLOOKUP(A395,Descargas!$B$3:$I$94,7,FALSE),0)</f>
        <v>0</v>
      </c>
      <c r="AB395" s="123">
        <f t="shared" si="38"/>
        <v>0</v>
      </c>
      <c r="AC395" s="123">
        <f t="shared" si="38"/>
        <v>0</v>
      </c>
      <c r="AD395" s="123">
        <f t="shared" si="38"/>
        <v>0</v>
      </c>
      <c r="AE395" s="123">
        <f t="shared" si="38"/>
        <v>0</v>
      </c>
      <c r="AF395" s="123">
        <f t="shared" si="38"/>
        <v>0</v>
      </c>
      <c r="AG395" s="123">
        <f t="shared" si="38"/>
        <v>0</v>
      </c>
      <c r="AH395" s="122">
        <f t="shared" si="34"/>
        <v>0</v>
      </c>
    </row>
    <row r="396" spans="1:34" s="86" customFormat="1" ht="15.75">
      <c r="A396" s="125">
        <v>128</v>
      </c>
      <c r="B396" s="286">
        <f>IFERROR(VLOOKUP(A396,Cargas!$B$3:$I$93,9,FALSE),0)</f>
        <v>0</v>
      </c>
      <c r="C396" s="127" t="s">
        <v>74</v>
      </c>
      <c r="D396" s="271">
        <f t="shared" si="37"/>
        <v>0</v>
      </c>
      <c r="E396" s="268">
        <f t="shared" si="35"/>
        <v>0</v>
      </c>
      <c r="F396" s="266"/>
      <c r="G396" s="266"/>
      <c r="H396" s="266">
        <f>IFERROR( VLOOKUP(A396,Descargas!$B$3:$I$94,3,FALSE),0)</f>
        <v>0</v>
      </c>
      <c r="I396" s="266">
        <f>IFERROR( VLOOKUP(A396,Descargas!$B$3:$I$94,4,FALSE),0)</f>
        <v>0</v>
      </c>
      <c r="J396" s="266">
        <f>IFERROR( VLOOKUP(A396,Descargas!$B$3:$I$94,5,FALSE),0)</f>
        <v>0</v>
      </c>
      <c r="K396" s="266">
        <f>IFERROR( VLOOKUP(A396,Descargas!$B$3:$I$94,6,FALSE),0)</f>
        <v>0</v>
      </c>
      <c r="L396" s="266">
        <f>IFERROR( VLOOKUP(A396,Descargas!$B$3:$I$94,7,FALSE),0)</f>
        <v>0</v>
      </c>
      <c r="AB396" s="123">
        <f t="shared" si="38"/>
        <v>0</v>
      </c>
      <c r="AC396" s="123">
        <f t="shared" si="38"/>
        <v>0</v>
      </c>
      <c r="AD396" s="123">
        <f t="shared" si="38"/>
        <v>0</v>
      </c>
      <c r="AE396" s="123">
        <f t="shared" si="38"/>
        <v>0</v>
      </c>
      <c r="AF396" s="123">
        <f t="shared" si="38"/>
        <v>0</v>
      </c>
      <c r="AG396" s="123">
        <f t="shared" si="38"/>
        <v>0</v>
      </c>
      <c r="AH396" s="122">
        <f t="shared" si="34"/>
        <v>0</v>
      </c>
    </row>
    <row r="397" spans="1:34" ht="15.75">
      <c r="A397" s="125">
        <v>129</v>
      </c>
      <c r="B397" s="286">
        <f>IFERROR(VLOOKUP(A397,Cargas!$B$3:$I$93,9,FALSE),0)</f>
        <v>0</v>
      </c>
      <c r="C397" s="127" t="s">
        <v>179</v>
      </c>
      <c r="D397" s="271">
        <f t="shared" si="37"/>
        <v>0</v>
      </c>
      <c r="E397" s="268">
        <f t="shared" si="35"/>
        <v>0</v>
      </c>
      <c r="F397" s="266"/>
      <c r="G397" s="266"/>
      <c r="H397" s="266">
        <f>IFERROR( VLOOKUP(A397,Descargas!$B$3:$I$94,3,FALSE),0)</f>
        <v>0</v>
      </c>
      <c r="I397" s="266">
        <f>IFERROR( VLOOKUP(A397,Descargas!$B$3:$I$94,4,FALSE),0)</f>
        <v>0</v>
      </c>
      <c r="J397" s="266">
        <f>IFERROR( VLOOKUP(A397,Descargas!$B$3:$I$94,5,FALSE),0)</f>
        <v>0</v>
      </c>
      <c r="K397" s="266">
        <f>IFERROR( VLOOKUP(A397,Descargas!$B$3:$I$94,6,FALSE),0)</f>
        <v>0</v>
      </c>
      <c r="L397" s="266">
        <f>IFERROR( VLOOKUP(A397,Descargas!$B$3:$I$94,7,FALSE),0)</f>
        <v>0</v>
      </c>
      <c r="AB397" s="123">
        <f t="shared" si="38"/>
        <v>0</v>
      </c>
      <c r="AC397" s="123">
        <f t="shared" si="38"/>
        <v>0</v>
      </c>
      <c r="AD397" s="123">
        <f t="shared" si="38"/>
        <v>0</v>
      </c>
      <c r="AE397" s="123">
        <f t="shared" si="38"/>
        <v>0</v>
      </c>
      <c r="AF397" s="123">
        <f t="shared" si="38"/>
        <v>0</v>
      </c>
      <c r="AG397" s="123">
        <f t="shared" si="38"/>
        <v>0</v>
      </c>
      <c r="AH397" s="122">
        <f t="shared" si="34"/>
        <v>0</v>
      </c>
    </row>
    <row r="398" spans="1:34" s="86" customFormat="1" ht="15.75">
      <c r="A398" s="125">
        <v>130</v>
      </c>
      <c r="B398" s="286">
        <f>IFERROR(VLOOKUP(A398,Cargas!$B$3:$I$93,9,FALSE),0)</f>
        <v>0</v>
      </c>
      <c r="C398" s="127" t="s">
        <v>112</v>
      </c>
      <c r="D398" s="271">
        <f t="shared" si="37"/>
        <v>0</v>
      </c>
      <c r="E398" s="268">
        <f>+SUM(H398:L398)</f>
        <v>0</v>
      </c>
      <c r="F398" s="266"/>
      <c r="G398" s="266"/>
      <c r="H398" s="266">
        <f>IFERROR( VLOOKUP(A398,Descargas!$B$3:$I$94,3,FALSE),0)</f>
        <v>0</v>
      </c>
      <c r="I398" s="266">
        <f>IFERROR( VLOOKUP(A398,Descargas!$B$3:$I$94,4,FALSE),0)</f>
        <v>0</v>
      </c>
      <c r="J398" s="266">
        <f>IFERROR( VLOOKUP(A398,Descargas!$B$3:$I$94,5,FALSE),0)</f>
        <v>0</v>
      </c>
      <c r="K398" s="266">
        <f>IFERROR( VLOOKUP(A398,Descargas!$B$3:$I$94,6,FALSE),0)</f>
        <v>0</v>
      </c>
      <c r="L398" s="266">
        <f>IFERROR( VLOOKUP(A398,Descargas!$B$3:$I$94,7,FALSE),0)</f>
        <v>0</v>
      </c>
      <c r="AB398" s="123">
        <f t="shared" si="38"/>
        <v>0</v>
      </c>
      <c r="AC398" s="123">
        <f t="shared" si="38"/>
        <v>0</v>
      </c>
      <c r="AD398" s="123">
        <f t="shared" si="38"/>
        <v>0</v>
      </c>
      <c r="AE398" s="123">
        <f t="shared" si="38"/>
        <v>0</v>
      </c>
      <c r="AF398" s="123">
        <f t="shared" si="38"/>
        <v>0</v>
      </c>
      <c r="AG398" s="123">
        <f t="shared" si="38"/>
        <v>0</v>
      </c>
      <c r="AH398" s="122">
        <f t="shared" si="34"/>
        <v>0</v>
      </c>
    </row>
    <row r="399" spans="1:34" s="86" customFormat="1" ht="15.75">
      <c r="A399" s="125">
        <v>131</v>
      </c>
      <c r="B399" s="286">
        <f>IFERROR(VLOOKUP(A399,Cargas!$B$3:$I$93,9,FALSE),0)</f>
        <v>0</v>
      </c>
      <c r="C399" s="127" t="s">
        <v>111</v>
      </c>
      <c r="D399" s="271">
        <f>+SUM(G399:L399)</f>
        <v>0</v>
      </c>
      <c r="E399" s="268">
        <f>+SUM(H399:L399)</f>
        <v>0</v>
      </c>
      <c r="F399" s="266"/>
      <c r="G399" s="266"/>
      <c r="H399" s="266">
        <f>IFERROR( VLOOKUP(A399,Descargas!$B$3:$I$94,3,FALSE),0)</f>
        <v>0</v>
      </c>
      <c r="I399" s="266">
        <f>IFERROR( VLOOKUP(A399,Descargas!$B$3:$I$94,4,FALSE),0)</f>
        <v>0</v>
      </c>
      <c r="J399" s="266">
        <f>IFERROR( VLOOKUP(A399,Descargas!$B$3:$I$94,5,FALSE),0)</f>
        <v>0</v>
      </c>
      <c r="K399" s="266">
        <f>IFERROR( VLOOKUP(A399,Descargas!$B$3:$I$94,6,FALSE),0)</f>
        <v>0</v>
      </c>
      <c r="L399" s="266">
        <f>IFERROR( VLOOKUP(A399,Descargas!$B$3:$I$94,7,FALSE),0)</f>
        <v>0</v>
      </c>
      <c r="AB399" s="123">
        <f t="shared" si="38"/>
        <v>0</v>
      </c>
      <c r="AC399" s="123">
        <f t="shared" si="38"/>
        <v>0</v>
      </c>
      <c r="AD399" s="123">
        <f t="shared" si="38"/>
        <v>0</v>
      </c>
      <c r="AE399" s="123">
        <f t="shared" si="38"/>
        <v>0</v>
      </c>
      <c r="AF399" s="123">
        <f t="shared" si="38"/>
        <v>0</v>
      </c>
      <c r="AG399" s="123">
        <f t="shared" si="38"/>
        <v>0</v>
      </c>
      <c r="AH399" s="122">
        <f t="shared" ref="AH399:AH462" si="39">+SUM(AB399:AG399)</f>
        <v>0</v>
      </c>
    </row>
    <row r="400" spans="1:34" ht="15.75">
      <c r="A400" s="125">
        <v>132</v>
      </c>
      <c r="B400" s="286">
        <f>IFERROR(VLOOKUP(A400,Cargas!$B$3:$I$93,9,FALSE),0)</f>
        <v>0</v>
      </c>
      <c r="C400" s="127" t="s">
        <v>78</v>
      </c>
      <c r="D400" s="271">
        <f>+SUM(H400:L400)</f>
        <v>0</v>
      </c>
      <c r="E400" s="268">
        <f>+SUM(H400:L400)</f>
        <v>0</v>
      </c>
      <c r="F400" s="266"/>
      <c r="G400" s="266"/>
      <c r="H400" s="266">
        <f>IFERROR( VLOOKUP(A400,Descargas!$B$3:$I$94,3,FALSE),0)</f>
        <v>0</v>
      </c>
      <c r="I400" s="266">
        <f>IFERROR( VLOOKUP(A400,Descargas!$B$3:$I$94,4,FALSE),0)</f>
        <v>0</v>
      </c>
      <c r="J400" s="266">
        <f>IFERROR( VLOOKUP(A400,Descargas!$B$3:$I$94,5,FALSE),0)</f>
        <v>0</v>
      </c>
      <c r="K400" s="266">
        <f>IFERROR( VLOOKUP(A400,Descargas!$B$3:$I$94,6,FALSE),0)</f>
        <v>0</v>
      </c>
      <c r="L400" s="266">
        <f>IFERROR( VLOOKUP(A400,Descargas!$B$3:$I$94,7,FALSE),0)</f>
        <v>0</v>
      </c>
      <c r="AB400" s="123">
        <f t="shared" si="38"/>
        <v>0</v>
      </c>
      <c r="AC400" s="123">
        <f t="shared" si="38"/>
        <v>0</v>
      </c>
      <c r="AD400" s="123">
        <f t="shared" si="38"/>
        <v>0</v>
      </c>
      <c r="AE400" s="123">
        <f t="shared" si="38"/>
        <v>0</v>
      </c>
      <c r="AF400" s="123">
        <f t="shared" si="38"/>
        <v>0</v>
      </c>
      <c r="AG400" s="123">
        <f t="shared" si="38"/>
        <v>0</v>
      </c>
      <c r="AH400" s="122">
        <f t="shared" si="39"/>
        <v>0</v>
      </c>
    </row>
    <row r="401" spans="1:34" s="86" customFormat="1" ht="15.75">
      <c r="A401" s="125">
        <v>133</v>
      </c>
      <c r="B401" s="286">
        <f>IFERROR(VLOOKUP(A401,Cargas!$B$3:$I$93,9,FALSE),0)</f>
        <v>0</v>
      </c>
      <c r="C401" s="127" t="s">
        <v>79</v>
      </c>
      <c r="D401" s="271">
        <f>+SUM(H401:L401)</f>
        <v>0</v>
      </c>
      <c r="E401" s="268">
        <f>+SUM(H401:L401)</f>
        <v>0</v>
      </c>
      <c r="F401" s="266"/>
      <c r="G401" s="266"/>
      <c r="H401" s="266">
        <f>IFERROR( VLOOKUP(A401,Descargas!$B$3:$I$94,3,FALSE),0)</f>
        <v>0</v>
      </c>
      <c r="I401" s="266">
        <f>IFERROR( VLOOKUP(A401,Descargas!$B$3:$I$94,4,FALSE),0)</f>
        <v>0</v>
      </c>
      <c r="J401" s="266">
        <f>IFERROR( VLOOKUP(A401,Descargas!$B$3:$I$94,5,FALSE),0)</f>
        <v>0</v>
      </c>
      <c r="K401" s="266">
        <f>IFERROR( VLOOKUP(A401,Descargas!$B$3:$I$94,6,FALSE),0)</f>
        <v>0</v>
      </c>
      <c r="L401" s="266">
        <f>IFERROR( VLOOKUP(A401,Descargas!$B$3:$I$94,7,FALSE),0)</f>
        <v>0</v>
      </c>
      <c r="AB401" s="123">
        <f t="shared" si="38"/>
        <v>0</v>
      </c>
      <c r="AC401" s="123">
        <f t="shared" si="38"/>
        <v>0</v>
      </c>
      <c r="AD401" s="123">
        <f t="shared" si="38"/>
        <v>0</v>
      </c>
      <c r="AE401" s="123">
        <f t="shared" si="38"/>
        <v>0</v>
      </c>
      <c r="AF401" s="123">
        <f t="shared" si="38"/>
        <v>0</v>
      </c>
      <c r="AG401" s="123">
        <f t="shared" si="38"/>
        <v>0</v>
      </c>
      <c r="AH401" s="122">
        <f t="shared" si="39"/>
        <v>0</v>
      </c>
    </row>
    <row r="402" spans="1:34" s="86" customFormat="1" ht="15.75">
      <c r="A402" s="125">
        <v>136</v>
      </c>
      <c r="B402" s="286">
        <f>IFERROR(VLOOKUP(A402,Cargas!$B$3:$I$93,9,FALSE),0)</f>
        <v>0</v>
      </c>
      <c r="C402" s="127" t="s">
        <v>80</v>
      </c>
      <c r="D402" s="271">
        <f t="shared" ref="D402:D431" si="40">+SUM(H402:L402)</f>
        <v>0</v>
      </c>
      <c r="E402" s="268">
        <f t="shared" si="35"/>
        <v>0</v>
      </c>
      <c r="F402" s="266"/>
      <c r="G402" s="266"/>
      <c r="H402" s="266">
        <f>IFERROR( VLOOKUP(A402,Descargas!$B$3:$I$94,3,FALSE),0)</f>
        <v>0</v>
      </c>
      <c r="I402" s="266">
        <f>IFERROR( VLOOKUP(A402,Descargas!$B$3:$I$94,4,FALSE),0)</f>
        <v>0</v>
      </c>
      <c r="J402" s="266">
        <f>IFERROR( VLOOKUP(A402,Descargas!$B$3:$I$94,5,FALSE),0)</f>
        <v>0</v>
      </c>
      <c r="K402" s="266">
        <f>IFERROR( VLOOKUP(A402,Descargas!$B$3:$I$94,6,FALSE),0)</f>
        <v>0</v>
      </c>
      <c r="L402" s="266">
        <f>IFERROR( VLOOKUP(A402,Descargas!$B$3:$I$94,7,FALSE),0)</f>
        <v>0</v>
      </c>
      <c r="AB402" s="123">
        <f t="shared" si="38"/>
        <v>0</v>
      </c>
      <c r="AC402" s="123">
        <f t="shared" si="38"/>
        <v>0</v>
      </c>
      <c r="AD402" s="123">
        <f t="shared" si="38"/>
        <v>0</v>
      </c>
      <c r="AE402" s="123">
        <f t="shared" si="38"/>
        <v>0</v>
      </c>
      <c r="AF402" s="123">
        <f t="shared" si="38"/>
        <v>0</v>
      </c>
      <c r="AG402" s="123">
        <f t="shared" si="38"/>
        <v>0</v>
      </c>
      <c r="AH402" s="122">
        <f t="shared" si="39"/>
        <v>0</v>
      </c>
    </row>
    <row r="403" spans="1:34" s="86" customFormat="1" ht="15.75">
      <c r="A403" s="125">
        <v>137</v>
      </c>
      <c r="B403" s="286">
        <f>IFERROR(VLOOKUP(A403,Cargas!$B$3:$I$93,9,FALSE),0)</f>
        <v>0</v>
      </c>
      <c r="C403" s="127" t="s">
        <v>81</v>
      </c>
      <c r="D403" s="271">
        <f t="shared" si="40"/>
        <v>0</v>
      </c>
      <c r="E403" s="268">
        <f>+SUM(H403:L403)</f>
        <v>0</v>
      </c>
      <c r="F403" s="266"/>
      <c r="G403" s="266"/>
      <c r="H403" s="266">
        <f>IFERROR( VLOOKUP(A403,Descargas!$B$3:$I$94,3,FALSE),0)</f>
        <v>0</v>
      </c>
      <c r="I403" s="266">
        <f>IFERROR( VLOOKUP(A403,Descargas!$B$3:$I$94,4,FALSE),0)</f>
        <v>0</v>
      </c>
      <c r="J403" s="266">
        <f>IFERROR( VLOOKUP(A403,Descargas!$B$3:$I$94,5,FALSE),0)</f>
        <v>0</v>
      </c>
      <c r="K403" s="266">
        <f>IFERROR( VLOOKUP(A403,Descargas!$B$3:$I$94,6,FALSE),0)</f>
        <v>0</v>
      </c>
      <c r="L403" s="266">
        <f>IFERROR( VLOOKUP(A403,Descargas!$B$3:$I$94,7,FALSE),0)</f>
        <v>0</v>
      </c>
      <c r="AB403" s="123">
        <f t="shared" si="38"/>
        <v>0</v>
      </c>
      <c r="AC403" s="123">
        <f t="shared" si="38"/>
        <v>0</v>
      </c>
      <c r="AD403" s="123">
        <f t="shared" si="38"/>
        <v>0</v>
      </c>
      <c r="AE403" s="123">
        <f t="shared" si="38"/>
        <v>0</v>
      </c>
      <c r="AF403" s="123">
        <f t="shared" si="38"/>
        <v>0</v>
      </c>
      <c r="AG403" s="123">
        <f t="shared" si="38"/>
        <v>0</v>
      </c>
      <c r="AH403" s="122">
        <f t="shared" si="39"/>
        <v>0</v>
      </c>
    </row>
    <row r="404" spans="1:34" ht="15.75">
      <c r="A404" s="125">
        <v>138</v>
      </c>
      <c r="B404" s="286">
        <f>IFERROR(VLOOKUP(A404,Cargas!$B$3:$I$93,9,FALSE),0)</f>
        <v>0</v>
      </c>
      <c r="C404" s="127" t="s">
        <v>82</v>
      </c>
      <c r="D404" s="271">
        <f t="shared" si="40"/>
        <v>0</v>
      </c>
      <c r="E404" s="268">
        <f t="shared" si="35"/>
        <v>0</v>
      </c>
      <c r="F404" s="266"/>
      <c r="G404" s="266"/>
      <c r="H404" s="266">
        <f>IFERROR( VLOOKUP(A404,Descargas!$B$3:$I$94,3,FALSE),0)</f>
        <v>0</v>
      </c>
      <c r="I404" s="266">
        <f>IFERROR( VLOOKUP(A404,Descargas!$B$3:$I$94,4,FALSE),0)</f>
        <v>0</v>
      </c>
      <c r="J404" s="266">
        <f>IFERROR( VLOOKUP(A404,Descargas!$B$3:$I$94,5,FALSE),0)</f>
        <v>0</v>
      </c>
      <c r="K404" s="266">
        <f>IFERROR( VLOOKUP(A404,Descargas!$B$3:$I$94,6,FALSE),0)</f>
        <v>0</v>
      </c>
      <c r="L404" s="266">
        <f>IFERROR( VLOOKUP(A404,Descargas!$B$3:$I$94,7,FALSE),0)</f>
        <v>0</v>
      </c>
      <c r="AB404" s="123">
        <f t="shared" si="38"/>
        <v>0</v>
      </c>
      <c r="AC404" s="123">
        <f t="shared" si="38"/>
        <v>0</v>
      </c>
      <c r="AD404" s="123">
        <f t="shared" si="38"/>
        <v>0</v>
      </c>
      <c r="AE404" s="123">
        <f t="shared" si="38"/>
        <v>0</v>
      </c>
      <c r="AF404" s="123">
        <f t="shared" si="38"/>
        <v>0</v>
      </c>
      <c r="AG404" s="123">
        <f t="shared" si="38"/>
        <v>0</v>
      </c>
      <c r="AH404" s="122">
        <f t="shared" si="39"/>
        <v>0</v>
      </c>
    </row>
    <row r="405" spans="1:34" s="86" customFormat="1" ht="15.75">
      <c r="A405" s="125">
        <v>139</v>
      </c>
      <c r="B405" s="286">
        <f>IFERROR(VLOOKUP(A405,Cargas!$B$3:$I$93,9,FALSE),0)</f>
        <v>0</v>
      </c>
      <c r="C405" s="127" t="s">
        <v>83</v>
      </c>
      <c r="D405" s="271">
        <f t="shared" si="40"/>
        <v>0</v>
      </c>
      <c r="E405" s="268">
        <f t="shared" ref="E405:E461" si="41">+SUM(H405:L405)</f>
        <v>0</v>
      </c>
      <c r="F405" s="266"/>
      <c r="G405" s="266"/>
      <c r="H405" s="266">
        <f>IFERROR( VLOOKUP(A405,Descargas!$B$3:$I$94,3,FALSE),0)</f>
        <v>0</v>
      </c>
      <c r="I405" s="266">
        <f>IFERROR( VLOOKUP(A405,Descargas!$B$3:$I$94,4,FALSE),0)</f>
        <v>0</v>
      </c>
      <c r="J405" s="266">
        <f>IFERROR( VLOOKUP(A405,Descargas!$B$3:$I$94,5,FALSE),0)</f>
        <v>0</v>
      </c>
      <c r="K405" s="266">
        <f>IFERROR( VLOOKUP(A405,Descargas!$B$3:$I$94,6,FALSE),0)</f>
        <v>0</v>
      </c>
      <c r="L405" s="266">
        <f>IFERROR( VLOOKUP(A405,Descargas!$B$3:$I$94,7,FALSE),0)</f>
        <v>0</v>
      </c>
      <c r="AB405" s="123">
        <f t="shared" si="38"/>
        <v>0</v>
      </c>
      <c r="AC405" s="123">
        <f t="shared" si="38"/>
        <v>0</v>
      </c>
      <c r="AD405" s="123">
        <f t="shared" si="38"/>
        <v>0</v>
      </c>
      <c r="AE405" s="123">
        <f t="shared" si="38"/>
        <v>0</v>
      </c>
      <c r="AF405" s="123">
        <f t="shared" si="38"/>
        <v>0</v>
      </c>
      <c r="AG405" s="123">
        <f t="shared" si="38"/>
        <v>0</v>
      </c>
      <c r="AH405" s="122">
        <f t="shared" si="39"/>
        <v>0</v>
      </c>
    </row>
    <row r="406" spans="1:34" s="86" customFormat="1" ht="15.75">
      <c r="A406" s="125">
        <v>140</v>
      </c>
      <c r="B406" s="286">
        <f>IFERROR(VLOOKUP(A406,Cargas!$B$3:$I$93,9,FALSE),0)</f>
        <v>0</v>
      </c>
      <c r="C406" s="127" t="s">
        <v>180</v>
      </c>
      <c r="D406" s="271">
        <f t="shared" si="40"/>
        <v>0</v>
      </c>
      <c r="E406" s="268">
        <f t="shared" si="41"/>
        <v>0</v>
      </c>
      <c r="F406" s="266"/>
      <c r="G406" s="266"/>
      <c r="H406" s="266">
        <f>IFERROR( VLOOKUP(A406,Descargas!$B$3:$I$94,3,FALSE),0)</f>
        <v>0</v>
      </c>
      <c r="I406" s="266">
        <f>IFERROR( VLOOKUP(A406,Descargas!$B$3:$I$94,4,FALSE),0)</f>
        <v>0</v>
      </c>
      <c r="J406" s="266">
        <f>IFERROR( VLOOKUP(A406,Descargas!$B$3:$I$94,5,FALSE),0)</f>
        <v>0</v>
      </c>
      <c r="K406" s="266">
        <f>IFERROR( VLOOKUP(A406,Descargas!$B$3:$I$94,6,FALSE),0)</f>
        <v>0</v>
      </c>
      <c r="L406" s="266">
        <f>IFERROR( VLOOKUP(A406,Descargas!$B$3:$I$94,7,FALSE),0)</f>
        <v>0</v>
      </c>
      <c r="AB406" s="123">
        <f t="shared" si="38"/>
        <v>0</v>
      </c>
      <c r="AC406" s="123">
        <f t="shared" si="38"/>
        <v>0</v>
      </c>
      <c r="AD406" s="123">
        <f t="shared" si="38"/>
        <v>0</v>
      </c>
      <c r="AE406" s="123">
        <f t="shared" si="38"/>
        <v>0</v>
      </c>
      <c r="AF406" s="123">
        <f t="shared" si="38"/>
        <v>0</v>
      </c>
      <c r="AG406" s="123">
        <f t="shared" si="38"/>
        <v>0</v>
      </c>
      <c r="AH406" s="122">
        <f t="shared" si="39"/>
        <v>0</v>
      </c>
    </row>
    <row r="407" spans="1:34" ht="15.75">
      <c r="A407" s="125">
        <v>141</v>
      </c>
      <c r="B407" s="286">
        <f>IFERROR(VLOOKUP(A407,Cargas!$B$3:$I$93,9,FALSE),0)</f>
        <v>0</v>
      </c>
      <c r="C407" s="127" t="s">
        <v>181</v>
      </c>
      <c r="D407" s="271">
        <f t="shared" si="40"/>
        <v>0</v>
      </c>
      <c r="E407" s="268">
        <f t="shared" si="41"/>
        <v>0</v>
      </c>
      <c r="F407" s="263"/>
      <c r="G407" s="266"/>
      <c r="H407" s="266">
        <f>IFERROR( VLOOKUP(A407,Descargas!$B$3:$I$94,3,FALSE),0)</f>
        <v>0</v>
      </c>
      <c r="I407" s="266">
        <f>IFERROR( VLOOKUP(A407,Descargas!$B$3:$I$94,4,FALSE),0)</f>
        <v>0</v>
      </c>
      <c r="J407" s="266">
        <f>IFERROR( VLOOKUP(A407,Descargas!$B$3:$I$94,5,FALSE),0)</f>
        <v>0</v>
      </c>
      <c r="K407" s="266">
        <f>IFERROR( VLOOKUP(A407,Descargas!$B$3:$I$94,6,FALSE),0)</f>
        <v>0</v>
      </c>
      <c r="L407" s="266">
        <f>IFERROR( VLOOKUP(A407,Descargas!$B$3:$I$94,7,FALSE),0)</f>
        <v>0</v>
      </c>
      <c r="AB407" s="123">
        <f t="shared" si="38"/>
        <v>0</v>
      </c>
      <c r="AC407" s="123">
        <f t="shared" si="38"/>
        <v>0</v>
      </c>
      <c r="AD407" s="123">
        <f t="shared" si="38"/>
        <v>0</v>
      </c>
      <c r="AE407" s="123">
        <f t="shared" si="38"/>
        <v>0</v>
      </c>
      <c r="AF407" s="123">
        <f t="shared" si="38"/>
        <v>0</v>
      </c>
      <c r="AG407" s="123">
        <f t="shared" si="38"/>
        <v>0</v>
      </c>
      <c r="AH407" s="122">
        <f t="shared" si="39"/>
        <v>0</v>
      </c>
    </row>
    <row r="408" spans="1:34" s="86" customFormat="1" ht="15.75">
      <c r="A408" s="125">
        <v>142</v>
      </c>
      <c r="B408" s="286">
        <f>IFERROR(VLOOKUP(A408,Cargas!$B$3:$I$93,9,FALSE),0)</f>
        <v>0</v>
      </c>
      <c r="C408" s="127" t="s">
        <v>182</v>
      </c>
      <c r="D408" s="271">
        <f t="shared" si="40"/>
        <v>0</v>
      </c>
      <c r="E408" s="268">
        <f t="shared" si="41"/>
        <v>0</v>
      </c>
      <c r="F408" s="266"/>
      <c r="G408" s="266"/>
      <c r="H408" s="266">
        <f>IFERROR( VLOOKUP(A408,Descargas!$B$3:$I$94,3,FALSE),0)</f>
        <v>0</v>
      </c>
      <c r="I408" s="266">
        <f>IFERROR( VLOOKUP(A408,Descargas!$B$3:$I$94,4,FALSE),0)</f>
        <v>0</v>
      </c>
      <c r="J408" s="266">
        <f>IFERROR( VLOOKUP(A408,Descargas!$B$3:$I$94,5,FALSE),0)</f>
        <v>0</v>
      </c>
      <c r="K408" s="266">
        <f>IFERROR( VLOOKUP(A408,Descargas!$B$3:$I$94,6,FALSE),0)</f>
        <v>0</v>
      </c>
      <c r="L408" s="266">
        <f>IFERROR( VLOOKUP(A408,Descargas!$B$3:$I$94,7,FALSE),0)</f>
        <v>0</v>
      </c>
      <c r="AB408" s="123">
        <f t="shared" si="38"/>
        <v>0</v>
      </c>
      <c r="AC408" s="123">
        <f t="shared" si="38"/>
        <v>0</v>
      </c>
      <c r="AD408" s="123">
        <f t="shared" si="38"/>
        <v>0</v>
      </c>
      <c r="AE408" s="123">
        <f t="shared" si="38"/>
        <v>0</v>
      </c>
      <c r="AF408" s="123">
        <f t="shared" si="38"/>
        <v>0</v>
      </c>
      <c r="AG408" s="123">
        <f t="shared" si="38"/>
        <v>0</v>
      </c>
      <c r="AH408" s="122">
        <f t="shared" si="39"/>
        <v>0</v>
      </c>
    </row>
    <row r="409" spans="1:34" s="86" customFormat="1" ht="15.75">
      <c r="A409" s="125">
        <v>143</v>
      </c>
      <c r="B409" s="286">
        <f>IFERROR(VLOOKUP(A409,Cargas!$B$3:$I$93,9,FALSE),0)</f>
        <v>0</v>
      </c>
      <c r="C409" s="127" t="s">
        <v>84</v>
      </c>
      <c r="D409" s="271">
        <f t="shared" si="40"/>
        <v>0</v>
      </c>
      <c r="E409" s="268">
        <f t="shared" si="41"/>
        <v>0</v>
      </c>
      <c r="F409" s="266"/>
      <c r="G409" s="266"/>
      <c r="H409" s="266">
        <f>IFERROR( VLOOKUP(A409,Descargas!$B$3:$I$94,3,FALSE),0)</f>
        <v>0</v>
      </c>
      <c r="I409" s="266">
        <f>IFERROR( VLOOKUP(A409,Descargas!$B$3:$I$94,4,FALSE),0)</f>
        <v>0</v>
      </c>
      <c r="J409" s="266">
        <f>IFERROR( VLOOKUP(A409,Descargas!$B$3:$I$94,5,FALSE),0)</f>
        <v>0</v>
      </c>
      <c r="K409" s="266">
        <f>IFERROR( VLOOKUP(A409,Descargas!$B$3:$I$94,6,FALSE),0)</f>
        <v>0</v>
      </c>
      <c r="L409" s="266">
        <f>IFERROR( VLOOKUP(A409,Descargas!$B$3:$I$94,7,FALSE),0)</f>
        <v>0</v>
      </c>
      <c r="AB409" s="123">
        <f t="shared" si="38"/>
        <v>0</v>
      </c>
      <c r="AC409" s="123">
        <f t="shared" si="38"/>
        <v>0</v>
      </c>
      <c r="AD409" s="123">
        <f t="shared" si="38"/>
        <v>0</v>
      </c>
      <c r="AE409" s="123">
        <f t="shared" si="38"/>
        <v>0</v>
      </c>
      <c r="AF409" s="123">
        <f t="shared" si="38"/>
        <v>0</v>
      </c>
      <c r="AG409" s="123">
        <f t="shared" si="38"/>
        <v>0</v>
      </c>
      <c r="AH409" s="122">
        <f t="shared" si="39"/>
        <v>0</v>
      </c>
    </row>
    <row r="410" spans="1:34" ht="15.75">
      <c r="A410" s="125">
        <v>145</v>
      </c>
      <c r="B410" s="286">
        <f>IFERROR(VLOOKUP(A410,Cargas!$B$3:$I$93,9,FALSE),0)</f>
        <v>0</v>
      </c>
      <c r="C410" s="127" t="s">
        <v>183</v>
      </c>
      <c r="D410" s="271">
        <f t="shared" si="40"/>
        <v>0</v>
      </c>
      <c r="E410" s="268">
        <f t="shared" si="41"/>
        <v>0</v>
      </c>
      <c r="F410" s="266"/>
      <c r="G410" s="266"/>
      <c r="H410" s="266">
        <f>IFERROR( VLOOKUP(A410,Descargas!$B$3:$I$94,3,FALSE),0)</f>
        <v>0</v>
      </c>
      <c r="I410" s="266">
        <f>IFERROR( VLOOKUP(A410,Descargas!$B$3:$I$94,4,FALSE),0)</f>
        <v>0</v>
      </c>
      <c r="J410" s="266">
        <f>IFERROR( VLOOKUP(A410,Descargas!$B$3:$I$94,5,FALSE),0)</f>
        <v>0</v>
      </c>
      <c r="K410" s="266">
        <f>IFERROR( VLOOKUP(A410,Descargas!$B$3:$I$94,6,FALSE),0)</f>
        <v>0</v>
      </c>
      <c r="L410" s="266">
        <f>IFERROR( VLOOKUP(A410,Descargas!$B$3:$I$94,7,FALSE),0)</f>
        <v>0</v>
      </c>
      <c r="AB410" s="123">
        <f t="shared" si="38"/>
        <v>0</v>
      </c>
      <c r="AC410" s="123">
        <f t="shared" si="38"/>
        <v>0</v>
      </c>
      <c r="AD410" s="123">
        <f t="shared" si="38"/>
        <v>0</v>
      </c>
      <c r="AE410" s="123">
        <f t="shared" si="38"/>
        <v>0</v>
      </c>
      <c r="AF410" s="123">
        <f t="shared" si="38"/>
        <v>0</v>
      </c>
      <c r="AG410" s="123">
        <f t="shared" si="38"/>
        <v>0</v>
      </c>
      <c r="AH410" s="122">
        <f t="shared" si="39"/>
        <v>0</v>
      </c>
    </row>
    <row r="411" spans="1:34" s="86" customFormat="1" ht="15.75">
      <c r="A411" s="125">
        <v>146</v>
      </c>
      <c r="B411" s="286">
        <f>IFERROR(VLOOKUP(A411,Cargas!$B$3:$I$93,9,FALSE),0)</f>
        <v>0</v>
      </c>
      <c r="C411" s="127" t="s">
        <v>86</v>
      </c>
      <c r="D411" s="271">
        <f t="shared" si="40"/>
        <v>0</v>
      </c>
      <c r="E411" s="268">
        <f t="shared" si="41"/>
        <v>0</v>
      </c>
      <c r="F411" s="266"/>
      <c r="G411" s="266"/>
      <c r="H411" s="266">
        <f>IFERROR( VLOOKUP(A411,Descargas!$B$3:$I$94,3,FALSE),0)</f>
        <v>0</v>
      </c>
      <c r="I411" s="266">
        <f>IFERROR( VLOOKUP(A411,Descargas!$B$3:$I$94,4,FALSE),0)</f>
        <v>0</v>
      </c>
      <c r="J411" s="266">
        <f>IFERROR( VLOOKUP(A411,Descargas!$B$3:$I$94,5,FALSE),0)</f>
        <v>0</v>
      </c>
      <c r="K411" s="266">
        <f>IFERROR( VLOOKUP(A411,Descargas!$B$3:$I$94,6,FALSE),0)</f>
        <v>0</v>
      </c>
      <c r="L411" s="266">
        <f>IFERROR( VLOOKUP(A411,Descargas!$B$3:$I$94,7,FALSE),0)</f>
        <v>0</v>
      </c>
      <c r="AB411" s="123">
        <f t="shared" si="38"/>
        <v>0</v>
      </c>
      <c r="AC411" s="123">
        <f t="shared" si="38"/>
        <v>0</v>
      </c>
      <c r="AD411" s="123">
        <f t="shared" si="38"/>
        <v>0</v>
      </c>
      <c r="AE411" s="123">
        <f t="shared" si="38"/>
        <v>0</v>
      </c>
      <c r="AF411" s="123">
        <f t="shared" si="38"/>
        <v>0</v>
      </c>
      <c r="AG411" s="123">
        <f t="shared" si="38"/>
        <v>0</v>
      </c>
      <c r="AH411" s="122">
        <f t="shared" si="39"/>
        <v>0</v>
      </c>
    </row>
    <row r="412" spans="1:34" s="86" customFormat="1" ht="15.75">
      <c r="A412" s="125">
        <v>149</v>
      </c>
      <c r="B412" s="286">
        <f>IFERROR(VLOOKUP(A412,Cargas!$B$3:$I$93,9,FALSE),0)</f>
        <v>0</v>
      </c>
      <c r="C412" s="127" t="s">
        <v>89</v>
      </c>
      <c r="D412" s="271">
        <f t="shared" si="40"/>
        <v>0</v>
      </c>
      <c r="E412" s="268">
        <f t="shared" si="41"/>
        <v>0</v>
      </c>
      <c r="F412" s="266"/>
      <c r="G412" s="266"/>
      <c r="H412" s="266">
        <f>IFERROR( VLOOKUP(A412,Descargas!$B$3:$I$94,3,FALSE),0)</f>
        <v>0</v>
      </c>
      <c r="I412" s="266">
        <f>IFERROR( VLOOKUP(A412,Descargas!$B$3:$I$94,4,FALSE),0)</f>
        <v>0</v>
      </c>
      <c r="J412" s="266">
        <f>IFERROR( VLOOKUP(A412,Descargas!$B$3:$I$94,5,FALSE),0)</f>
        <v>0</v>
      </c>
      <c r="K412" s="266">
        <f>IFERROR( VLOOKUP(A412,Descargas!$B$3:$I$94,6,FALSE),0)</f>
        <v>0</v>
      </c>
      <c r="L412" s="266">
        <f>IFERROR( VLOOKUP(A412,Descargas!$B$3:$I$94,7,FALSE),0)</f>
        <v>0</v>
      </c>
      <c r="AB412" s="123">
        <f t="shared" si="38"/>
        <v>0</v>
      </c>
      <c r="AC412" s="123">
        <f t="shared" si="38"/>
        <v>0</v>
      </c>
      <c r="AD412" s="123">
        <f t="shared" si="38"/>
        <v>0</v>
      </c>
      <c r="AE412" s="123">
        <f t="shared" si="38"/>
        <v>0</v>
      </c>
      <c r="AF412" s="123">
        <f t="shared" si="38"/>
        <v>0</v>
      </c>
      <c r="AG412" s="123">
        <f t="shared" si="38"/>
        <v>0</v>
      </c>
      <c r="AH412" s="122">
        <f t="shared" si="39"/>
        <v>0</v>
      </c>
    </row>
    <row r="413" spans="1:34" ht="15.75">
      <c r="A413" s="125">
        <v>150</v>
      </c>
      <c r="B413" s="286">
        <f>IFERROR(VLOOKUP(A413,Cargas!$B$3:$I$93,9,FALSE),0)</f>
        <v>0</v>
      </c>
      <c r="C413" s="127" t="s">
        <v>94</v>
      </c>
      <c r="D413" s="271">
        <f t="shared" si="40"/>
        <v>0</v>
      </c>
      <c r="E413" s="268">
        <f t="shared" si="41"/>
        <v>0</v>
      </c>
      <c r="F413" s="266"/>
      <c r="G413" s="266"/>
      <c r="H413" s="266">
        <f>IFERROR( VLOOKUP(A413,Descargas!$B$3:$I$94,3,FALSE),0)</f>
        <v>0</v>
      </c>
      <c r="I413" s="266">
        <f>IFERROR( VLOOKUP(A413,Descargas!$B$3:$I$94,4,FALSE),0)</f>
        <v>0</v>
      </c>
      <c r="J413" s="266">
        <f>IFERROR( VLOOKUP(A413,Descargas!$B$3:$I$94,5,FALSE),0)</f>
        <v>0</v>
      </c>
      <c r="K413" s="266">
        <f>IFERROR( VLOOKUP(A413,Descargas!$B$3:$I$94,6,FALSE),0)</f>
        <v>0</v>
      </c>
      <c r="L413" s="266">
        <f>IFERROR( VLOOKUP(A413,Descargas!$B$3:$I$94,7,FALSE),0)</f>
        <v>0</v>
      </c>
      <c r="AB413" s="123">
        <f t="shared" si="38"/>
        <v>0</v>
      </c>
      <c r="AC413" s="123">
        <f t="shared" si="38"/>
        <v>0</v>
      </c>
      <c r="AD413" s="123">
        <f t="shared" si="38"/>
        <v>0</v>
      </c>
      <c r="AE413" s="123">
        <f t="shared" si="38"/>
        <v>0</v>
      </c>
      <c r="AF413" s="123">
        <f t="shared" si="38"/>
        <v>0</v>
      </c>
      <c r="AG413" s="123">
        <f t="shared" si="38"/>
        <v>0</v>
      </c>
      <c r="AH413" s="122">
        <f t="shared" si="39"/>
        <v>0</v>
      </c>
    </row>
    <row r="414" spans="1:34" s="86" customFormat="1" ht="15.75">
      <c r="A414" s="125">
        <v>151</v>
      </c>
      <c r="B414" s="286">
        <f>IFERROR(VLOOKUP(A414,Cargas!$B$3:$I$93,9,FALSE),0)</f>
        <v>0</v>
      </c>
      <c r="C414" s="127" t="s">
        <v>90</v>
      </c>
      <c r="D414" s="271">
        <f t="shared" si="40"/>
        <v>0</v>
      </c>
      <c r="E414" s="268">
        <f t="shared" si="41"/>
        <v>0</v>
      </c>
      <c r="F414" s="266"/>
      <c r="G414" s="266"/>
      <c r="H414" s="266">
        <f>IFERROR( VLOOKUP(A414,Descargas!$B$3:$I$94,3,FALSE),0)</f>
        <v>0</v>
      </c>
      <c r="I414" s="266">
        <f>IFERROR( VLOOKUP(A414,Descargas!$B$3:$I$94,4,FALSE),0)</f>
        <v>0</v>
      </c>
      <c r="J414" s="266">
        <f>IFERROR( VLOOKUP(A414,Descargas!$B$3:$I$94,5,FALSE),0)</f>
        <v>0</v>
      </c>
      <c r="K414" s="266">
        <f>IFERROR( VLOOKUP(A414,Descargas!$B$3:$I$94,6,FALSE),0)</f>
        <v>0</v>
      </c>
      <c r="L414" s="266">
        <f>IFERROR( VLOOKUP(A414,Descargas!$B$3:$I$94,7,FALSE),0)</f>
        <v>0</v>
      </c>
      <c r="AB414" s="123">
        <f t="shared" si="38"/>
        <v>0</v>
      </c>
      <c r="AC414" s="123">
        <f t="shared" si="38"/>
        <v>0</v>
      </c>
      <c r="AD414" s="123">
        <f t="shared" si="38"/>
        <v>0</v>
      </c>
      <c r="AE414" s="123">
        <f t="shared" si="38"/>
        <v>0</v>
      </c>
      <c r="AF414" s="123">
        <f t="shared" si="38"/>
        <v>0</v>
      </c>
      <c r="AG414" s="123">
        <f t="shared" si="38"/>
        <v>0</v>
      </c>
      <c r="AH414" s="122">
        <f t="shared" si="39"/>
        <v>0</v>
      </c>
    </row>
    <row r="415" spans="1:34" s="86" customFormat="1" ht="15.75">
      <c r="A415" s="125">
        <v>152</v>
      </c>
      <c r="B415" s="286">
        <f>IFERROR(VLOOKUP(A415,Cargas!$B$3:$I$93,9,FALSE),0)</f>
        <v>0</v>
      </c>
      <c r="C415" s="127" t="s">
        <v>91</v>
      </c>
      <c r="D415" s="271">
        <f t="shared" si="40"/>
        <v>0</v>
      </c>
      <c r="E415" s="268">
        <f t="shared" si="41"/>
        <v>0</v>
      </c>
      <c r="F415" s="266"/>
      <c r="G415" s="266"/>
      <c r="H415" s="266">
        <f>IFERROR( VLOOKUP(A415,Descargas!$B$3:$I$94,3,FALSE),0)</f>
        <v>0</v>
      </c>
      <c r="I415" s="266">
        <f>IFERROR( VLOOKUP(A415,Descargas!$B$3:$I$94,4,FALSE),0)</f>
        <v>0</v>
      </c>
      <c r="J415" s="266">
        <f>IFERROR( VLOOKUP(A415,Descargas!$B$3:$I$94,5,FALSE),0)</f>
        <v>0</v>
      </c>
      <c r="K415" s="266">
        <f>IFERROR( VLOOKUP(A415,Descargas!$B$3:$I$94,6,FALSE),0)</f>
        <v>0</v>
      </c>
      <c r="L415" s="266">
        <f>IFERROR( VLOOKUP(A415,Descargas!$B$3:$I$94,7,FALSE),0)</f>
        <v>0</v>
      </c>
      <c r="AB415" s="123">
        <f t="shared" si="38"/>
        <v>0</v>
      </c>
      <c r="AC415" s="123">
        <f t="shared" si="38"/>
        <v>0</v>
      </c>
      <c r="AD415" s="123">
        <f t="shared" si="38"/>
        <v>0</v>
      </c>
      <c r="AE415" s="123">
        <f t="shared" si="38"/>
        <v>0</v>
      </c>
      <c r="AF415" s="123">
        <f t="shared" si="38"/>
        <v>0</v>
      </c>
      <c r="AG415" s="123">
        <f t="shared" si="38"/>
        <v>0</v>
      </c>
      <c r="AH415" s="122">
        <f t="shared" si="39"/>
        <v>0</v>
      </c>
    </row>
    <row r="416" spans="1:34" ht="15.75">
      <c r="A416" s="125">
        <v>153</v>
      </c>
      <c r="B416" s="286">
        <f>IFERROR(VLOOKUP(A416,Cargas!$B$3:$I$93,9,FALSE),0)</f>
        <v>0</v>
      </c>
      <c r="C416" s="127" t="s">
        <v>92</v>
      </c>
      <c r="D416" s="271">
        <f t="shared" si="40"/>
        <v>0</v>
      </c>
      <c r="E416" s="268">
        <f t="shared" si="41"/>
        <v>0</v>
      </c>
      <c r="F416" s="266"/>
      <c r="G416" s="266"/>
      <c r="H416" s="266">
        <f>IFERROR( VLOOKUP(A416,Descargas!$B$3:$I$94,3,FALSE),0)</f>
        <v>0</v>
      </c>
      <c r="I416" s="266">
        <f>IFERROR( VLOOKUP(A416,Descargas!$B$3:$I$94,4,FALSE),0)</f>
        <v>0</v>
      </c>
      <c r="J416" s="266">
        <f>IFERROR( VLOOKUP(A416,Descargas!$B$3:$I$94,5,FALSE),0)</f>
        <v>0</v>
      </c>
      <c r="K416" s="266">
        <f>IFERROR( VLOOKUP(A416,Descargas!$B$3:$I$94,6,FALSE),0)</f>
        <v>0</v>
      </c>
      <c r="L416" s="266">
        <f>IFERROR( VLOOKUP(A416,Descargas!$B$3:$I$94,7,FALSE),0)</f>
        <v>0</v>
      </c>
      <c r="AB416" s="123">
        <f t="shared" si="38"/>
        <v>0</v>
      </c>
      <c r="AC416" s="123">
        <f t="shared" si="38"/>
        <v>0</v>
      </c>
      <c r="AD416" s="123">
        <f t="shared" si="38"/>
        <v>0</v>
      </c>
      <c r="AE416" s="123">
        <f t="shared" si="38"/>
        <v>0</v>
      </c>
      <c r="AF416" s="123">
        <f t="shared" si="38"/>
        <v>0</v>
      </c>
      <c r="AG416" s="123">
        <f t="shared" si="38"/>
        <v>0</v>
      </c>
      <c r="AH416" s="122">
        <f t="shared" si="39"/>
        <v>0</v>
      </c>
    </row>
    <row r="417" spans="1:34" s="86" customFormat="1" ht="15.75">
      <c r="A417" s="125">
        <v>154</v>
      </c>
      <c r="B417" s="286">
        <f>IFERROR(VLOOKUP(A417,Cargas!$B$3:$I$93,9,FALSE),0)</f>
        <v>0</v>
      </c>
      <c r="C417" s="127" t="s">
        <v>233</v>
      </c>
      <c r="D417" s="271">
        <f t="shared" si="40"/>
        <v>0</v>
      </c>
      <c r="E417" s="268">
        <f t="shared" si="41"/>
        <v>0</v>
      </c>
      <c r="F417" s="266"/>
      <c r="G417" s="266"/>
      <c r="H417" s="266">
        <f>IFERROR( VLOOKUP(A417,Descargas!$B$3:$I$94,3,FALSE),0)</f>
        <v>0</v>
      </c>
      <c r="I417" s="266">
        <f>IFERROR( VLOOKUP(A417,Descargas!$B$3:$I$94,4,FALSE),0)</f>
        <v>0</v>
      </c>
      <c r="J417" s="266">
        <f>IFERROR( VLOOKUP(A417,Descargas!$B$3:$I$94,5,FALSE),0)</f>
        <v>0</v>
      </c>
      <c r="K417" s="266">
        <f>IFERROR( VLOOKUP(A417,Descargas!$B$3:$I$94,6,FALSE),0)</f>
        <v>0</v>
      </c>
      <c r="L417" s="266">
        <f>IFERROR( VLOOKUP(A417,Descargas!$B$3:$I$94,7,FALSE),0)</f>
        <v>0</v>
      </c>
      <c r="AB417" s="123">
        <f t="shared" si="38"/>
        <v>0</v>
      </c>
      <c r="AC417" s="123">
        <f t="shared" si="38"/>
        <v>0</v>
      </c>
      <c r="AD417" s="123">
        <f t="shared" si="38"/>
        <v>0</v>
      </c>
      <c r="AE417" s="123">
        <f t="shared" si="38"/>
        <v>0</v>
      </c>
      <c r="AF417" s="123">
        <f t="shared" si="38"/>
        <v>0</v>
      </c>
      <c r="AG417" s="123">
        <f t="shared" si="38"/>
        <v>0</v>
      </c>
      <c r="AH417" s="122">
        <f t="shared" si="39"/>
        <v>0</v>
      </c>
    </row>
    <row r="418" spans="1:34" s="86" customFormat="1" ht="15.75">
      <c r="A418" s="125">
        <v>155</v>
      </c>
      <c r="B418" s="286">
        <f>IFERROR(VLOOKUP(A418,Cargas!$B$3:$I$93,9,FALSE),0)</f>
        <v>0</v>
      </c>
      <c r="C418" s="127" t="s">
        <v>234</v>
      </c>
      <c r="D418" s="271">
        <f t="shared" si="40"/>
        <v>0</v>
      </c>
      <c r="E418" s="268">
        <f t="shared" si="41"/>
        <v>0</v>
      </c>
      <c r="F418" s="266"/>
      <c r="G418" s="266"/>
      <c r="H418" s="266">
        <f>IFERROR( VLOOKUP(A418,Descargas!$B$3:$I$94,3,FALSE),0)</f>
        <v>0</v>
      </c>
      <c r="I418" s="266">
        <f>IFERROR( VLOOKUP(A418,Descargas!$B$3:$I$94,4,FALSE),0)</f>
        <v>0</v>
      </c>
      <c r="J418" s="266">
        <f>IFERROR( VLOOKUP(A418,Descargas!$B$3:$I$94,5,FALSE),0)</f>
        <v>0</v>
      </c>
      <c r="K418" s="266">
        <f>IFERROR( VLOOKUP(A418,Descargas!$B$3:$I$94,6,FALSE),0)</f>
        <v>0</v>
      </c>
      <c r="L418" s="266">
        <f>IFERROR( VLOOKUP(A418,Descargas!$B$3:$I$94,7,FALSE),0)</f>
        <v>0</v>
      </c>
      <c r="AB418" s="123">
        <f t="shared" si="38"/>
        <v>0</v>
      </c>
      <c r="AC418" s="123">
        <f t="shared" si="38"/>
        <v>0</v>
      </c>
      <c r="AD418" s="123">
        <f t="shared" si="38"/>
        <v>0</v>
      </c>
      <c r="AE418" s="123">
        <f t="shared" si="38"/>
        <v>0</v>
      </c>
      <c r="AF418" s="123">
        <f t="shared" si="38"/>
        <v>0</v>
      </c>
      <c r="AG418" s="123">
        <f t="shared" si="38"/>
        <v>0</v>
      </c>
      <c r="AH418" s="122">
        <f t="shared" si="39"/>
        <v>0</v>
      </c>
    </row>
    <row r="419" spans="1:34" ht="15.75">
      <c r="A419" s="125">
        <v>156</v>
      </c>
      <c r="B419" s="286">
        <f>IFERROR(VLOOKUP(A419,Cargas!$B$3:$I$93,9,FALSE),0)</f>
        <v>0</v>
      </c>
      <c r="C419" s="127" t="s">
        <v>95</v>
      </c>
      <c r="D419" s="271">
        <f t="shared" si="40"/>
        <v>0</v>
      </c>
      <c r="E419" s="268">
        <f t="shared" si="41"/>
        <v>0</v>
      </c>
      <c r="F419" s="266"/>
      <c r="G419" s="266"/>
      <c r="H419" s="266">
        <f>IFERROR( VLOOKUP(A419,Descargas!$B$3:$I$94,3,FALSE),0)</f>
        <v>0</v>
      </c>
      <c r="I419" s="266">
        <f>IFERROR( VLOOKUP(A419,Descargas!$B$3:$I$94,4,FALSE),0)</f>
        <v>0</v>
      </c>
      <c r="J419" s="266">
        <f>IFERROR( VLOOKUP(A419,Descargas!$B$3:$I$94,5,FALSE),0)</f>
        <v>0</v>
      </c>
      <c r="K419" s="266">
        <f>IFERROR( VLOOKUP(A419,Descargas!$B$3:$I$94,6,FALSE),0)</f>
        <v>0</v>
      </c>
      <c r="L419" s="266">
        <f>IFERROR( VLOOKUP(A419,Descargas!$B$3:$I$94,7,FALSE),0)</f>
        <v>0</v>
      </c>
      <c r="AB419" s="123">
        <f t="shared" si="38"/>
        <v>0</v>
      </c>
      <c r="AC419" s="123">
        <f t="shared" si="38"/>
        <v>0</v>
      </c>
      <c r="AD419" s="123">
        <f t="shared" si="38"/>
        <v>0</v>
      </c>
      <c r="AE419" s="123">
        <f t="shared" si="38"/>
        <v>0</v>
      </c>
      <c r="AF419" s="123">
        <f t="shared" si="38"/>
        <v>0</v>
      </c>
      <c r="AG419" s="123">
        <f t="shared" si="38"/>
        <v>0</v>
      </c>
      <c r="AH419" s="122">
        <f t="shared" si="39"/>
        <v>0</v>
      </c>
    </row>
    <row r="420" spans="1:34" s="86" customFormat="1" ht="15.75">
      <c r="A420" s="125">
        <v>157</v>
      </c>
      <c r="B420" s="286">
        <f>IFERROR(VLOOKUP(A420,Cargas!$B$3:$I$93,9,FALSE),0)</f>
        <v>0</v>
      </c>
      <c r="C420" s="127" t="s">
        <v>100</v>
      </c>
      <c r="D420" s="271">
        <f t="shared" si="40"/>
        <v>0</v>
      </c>
      <c r="E420" s="268">
        <f t="shared" si="41"/>
        <v>0</v>
      </c>
      <c r="F420" s="266"/>
      <c r="G420" s="266"/>
      <c r="H420" s="266">
        <f>IFERROR( VLOOKUP(A420,Descargas!$B$3:$I$94,3,FALSE),0)</f>
        <v>0</v>
      </c>
      <c r="I420" s="266">
        <f>IFERROR( VLOOKUP(A420,Descargas!$B$3:$I$94,4,FALSE),0)</f>
        <v>0</v>
      </c>
      <c r="J420" s="266">
        <f>IFERROR( VLOOKUP(A420,Descargas!$B$3:$I$94,5,FALSE),0)</f>
        <v>0</v>
      </c>
      <c r="K420" s="266">
        <f>IFERROR( VLOOKUP(A420,Descargas!$B$3:$I$94,6,FALSE),0)</f>
        <v>0</v>
      </c>
      <c r="L420" s="266">
        <f>IFERROR( VLOOKUP(A420,Descargas!$B$3:$I$94,7,FALSE),0)</f>
        <v>0</v>
      </c>
      <c r="AB420" s="123">
        <f t="shared" si="38"/>
        <v>0</v>
      </c>
      <c r="AC420" s="123">
        <f t="shared" si="38"/>
        <v>0</v>
      </c>
      <c r="AD420" s="123">
        <f t="shared" si="38"/>
        <v>0</v>
      </c>
      <c r="AE420" s="123">
        <f t="shared" si="38"/>
        <v>0</v>
      </c>
      <c r="AF420" s="123">
        <f t="shared" si="38"/>
        <v>0</v>
      </c>
      <c r="AG420" s="123">
        <f t="shared" si="38"/>
        <v>0</v>
      </c>
      <c r="AH420" s="122">
        <f t="shared" si="39"/>
        <v>0</v>
      </c>
    </row>
    <row r="421" spans="1:34" s="86" customFormat="1" ht="15.75">
      <c r="A421" s="125">
        <v>160</v>
      </c>
      <c r="B421" s="286">
        <f>IFERROR(VLOOKUP(A421,Cargas!$B$3:$I$93,9,FALSE),0)</f>
        <v>0</v>
      </c>
      <c r="C421" s="127" t="s">
        <v>184</v>
      </c>
      <c r="D421" s="271">
        <f t="shared" si="40"/>
        <v>0</v>
      </c>
      <c r="E421" s="268">
        <f t="shared" si="41"/>
        <v>0</v>
      </c>
      <c r="F421" s="266"/>
      <c r="G421" s="266"/>
      <c r="H421" s="266">
        <f>IFERROR( VLOOKUP(A421,Descargas!$B$3:$I$94,3,FALSE),0)</f>
        <v>0</v>
      </c>
      <c r="I421" s="266">
        <f>IFERROR( VLOOKUP(A421,Descargas!$B$3:$I$94,4,FALSE),0)</f>
        <v>0</v>
      </c>
      <c r="J421" s="266">
        <f>IFERROR( VLOOKUP(A421,Descargas!$B$3:$I$94,5,FALSE),0)</f>
        <v>0</v>
      </c>
      <c r="K421" s="266">
        <f>IFERROR( VLOOKUP(A421,Descargas!$B$3:$I$94,6,FALSE),0)</f>
        <v>0</v>
      </c>
      <c r="L421" s="266">
        <f>IFERROR( VLOOKUP(A421,Descargas!$B$3:$I$94,7,FALSE),0)</f>
        <v>0</v>
      </c>
      <c r="AB421" s="123">
        <f t="shared" si="38"/>
        <v>0</v>
      </c>
      <c r="AC421" s="123">
        <f t="shared" si="38"/>
        <v>0</v>
      </c>
      <c r="AD421" s="123">
        <f t="shared" si="38"/>
        <v>0</v>
      </c>
      <c r="AE421" s="123">
        <f t="shared" si="38"/>
        <v>0</v>
      </c>
      <c r="AF421" s="123">
        <f t="shared" si="38"/>
        <v>0</v>
      </c>
      <c r="AG421" s="123">
        <f t="shared" si="38"/>
        <v>0</v>
      </c>
      <c r="AH421" s="122">
        <f t="shared" si="39"/>
        <v>0</v>
      </c>
    </row>
    <row r="422" spans="1:34" ht="15.75">
      <c r="A422" s="125">
        <v>161</v>
      </c>
      <c r="B422" s="286">
        <f>IFERROR(VLOOKUP(A422,Cargas!$B$3:$I$93,9,FALSE),0)</f>
        <v>0</v>
      </c>
      <c r="C422" s="127" t="s">
        <v>106</v>
      </c>
      <c r="D422" s="271">
        <f t="shared" si="40"/>
        <v>0</v>
      </c>
      <c r="E422" s="268">
        <f t="shared" si="41"/>
        <v>0</v>
      </c>
      <c r="F422" s="263"/>
      <c r="G422" s="266"/>
      <c r="H422" s="266">
        <f>IFERROR( VLOOKUP(A422,Descargas!$B$3:$I$94,3,FALSE),0)</f>
        <v>0</v>
      </c>
      <c r="I422" s="266">
        <f>IFERROR( VLOOKUP(A422,Descargas!$B$3:$I$94,4,FALSE),0)</f>
        <v>0</v>
      </c>
      <c r="J422" s="266">
        <f>IFERROR( VLOOKUP(A422,Descargas!$B$3:$I$94,5,FALSE),0)</f>
        <v>0</v>
      </c>
      <c r="K422" s="266">
        <f>IFERROR( VLOOKUP(A422,Descargas!$B$3:$I$94,6,FALSE),0)</f>
        <v>0</v>
      </c>
      <c r="L422" s="266">
        <f>IFERROR( VLOOKUP(A422,Descargas!$B$3:$I$94,7,FALSE),0)</f>
        <v>0</v>
      </c>
      <c r="AB422" s="123">
        <f t="shared" si="38"/>
        <v>0</v>
      </c>
      <c r="AC422" s="123">
        <f t="shared" si="38"/>
        <v>0</v>
      </c>
      <c r="AD422" s="123">
        <f t="shared" si="38"/>
        <v>0</v>
      </c>
      <c r="AE422" s="123">
        <f t="shared" si="38"/>
        <v>0</v>
      </c>
      <c r="AF422" s="123">
        <f t="shared" si="38"/>
        <v>0</v>
      </c>
      <c r="AG422" s="123">
        <f t="shared" si="38"/>
        <v>0</v>
      </c>
      <c r="AH422" s="122">
        <f t="shared" si="39"/>
        <v>0</v>
      </c>
    </row>
    <row r="423" spans="1:34" s="86" customFormat="1" ht="15.75">
      <c r="A423" s="125">
        <v>162</v>
      </c>
      <c r="B423" s="286">
        <f>IFERROR(VLOOKUP(A423,Cargas!$B$3:$I$93,9,FALSE),0)</f>
        <v>0</v>
      </c>
      <c r="C423" s="127" t="s">
        <v>96</v>
      </c>
      <c r="D423" s="271">
        <f t="shared" si="40"/>
        <v>0</v>
      </c>
      <c r="E423" s="268">
        <f>+SUM(H423:L423)</f>
        <v>0</v>
      </c>
      <c r="F423" s="266"/>
      <c r="G423" s="266"/>
      <c r="H423" s="266">
        <f>IFERROR( VLOOKUP(A423,Descargas!$B$3:$I$94,3,FALSE),0)</f>
        <v>0</v>
      </c>
      <c r="I423" s="266">
        <f>IFERROR( VLOOKUP(A423,Descargas!$B$3:$I$94,4,FALSE),0)</f>
        <v>0</v>
      </c>
      <c r="J423" s="266">
        <f>IFERROR( VLOOKUP(A423,Descargas!$B$3:$I$94,5,FALSE),0)</f>
        <v>0</v>
      </c>
      <c r="K423" s="266">
        <f>IFERROR( VLOOKUP(A423,Descargas!$B$3:$I$94,6,FALSE),0)</f>
        <v>0</v>
      </c>
      <c r="L423" s="266">
        <f>IFERROR( VLOOKUP(A423,Descargas!$B$3:$I$94,7,FALSE),0)</f>
        <v>0</v>
      </c>
      <c r="AB423" s="123">
        <f t="shared" si="38"/>
        <v>0</v>
      </c>
      <c r="AC423" s="123">
        <f t="shared" si="38"/>
        <v>0</v>
      </c>
      <c r="AD423" s="123">
        <f t="shared" si="38"/>
        <v>0</v>
      </c>
      <c r="AE423" s="123">
        <f t="shared" si="38"/>
        <v>0</v>
      </c>
      <c r="AF423" s="123">
        <f t="shared" si="38"/>
        <v>0</v>
      </c>
      <c r="AG423" s="123">
        <f t="shared" si="38"/>
        <v>0</v>
      </c>
      <c r="AH423" s="122">
        <f t="shared" si="39"/>
        <v>0</v>
      </c>
    </row>
    <row r="424" spans="1:34" s="86" customFormat="1" ht="15.75">
      <c r="A424" s="125">
        <v>163</v>
      </c>
      <c r="B424" s="286">
        <f>IFERROR(VLOOKUP(A424,Cargas!$B$3:$I$93,9,FALSE),0)</f>
        <v>0</v>
      </c>
      <c r="C424" s="127" t="s">
        <v>97</v>
      </c>
      <c r="D424" s="271">
        <f t="shared" si="40"/>
        <v>0</v>
      </c>
      <c r="E424" s="268">
        <f t="shared" si="41"/>
        <v>0</v>
      </c>
      <c r="F424" s="266"/>
      <c r="G424" s="266"/>
      <c r="H424" s="266">
        <f>IFERROR( VLOOKUP(A424,Descargas!$B$3:$I$94,3,FALSE),0)</f>
        <v>0</v>
      </c>
      <c r="I424" s="266">
        <f>IFERROR( VLOOKUP(A424,Descargas!$B$3:$I$94,4,FALSE),0)</f>
        <v>0</v>
      </c>
      <c r="J424" s="266">
        <f>IFERROR( VLOOKUP(A424,Descargas!$B$3:$I$94,5,FALSE),0)</f>
        <v>0</v>
      </c>
      <c r="K424" s="266">
        <f>IFERROR( VLOOKUP(A424,Descargas!$B$3:$I$94,6,FALSE),0)</f>
        <v>0</v>
      </c>
      <c r="L424" s="266">
        <f>IFERROR( VLOOKUP(A424,Descargas!$B$3:$I$94,7,FALSE),0)</f>
        <v>0</v>
      </c>
      <c r="AB424" s="123">
        <f t="shared" si="38"/>
        <v>0</v>
      </c>
      <c r="AC424" s="123">
        <f t="shared" si="38"/>
        <v>0</v>
      </c>
      <c r="AD424" s="123">
        <f t="shared" si="38"/>
        <v>0</v>
      </c>
      <c r="AE424" s="123">
        <f t="shared" si="38"/>
        <v>0</v>
      </c>
      <c r="AF424" s="123">
        <f t="shared" si="38"/>
        <v>0</v>
      </c>
      <c r="AG424" s="123">
        <f t="shared" si="38"/>
        <v>0</v>
      </c>
      <c r="AH424" s="122">
        <f t="shared" si="39"/>
        <v>0</v>
      </c>
    </row>
    <row r="425" spans="1:34" ht="15.75">
      <c r="A425" s="125">
        <v>164</v>
      </c>
      <c r="B425" s="286">
        <f>IFERROR(VLOOKUP(A425,Cargas!$B$3:$I$93,9,FALSE),0)</f>
        <v>0</v>
      </c>
      <c r="C425" s="127" t="s">
        <v>98</v>
      </c>
      <c r="D425" s="271">
        <f t="shared" si="40"/>
        <v>0</v>
      </c>
      <c r="E425" s="268">
        <f t="shared" si="41"/>
        <v>0</v>
      </c>
      <c r="F425" s="266"/>
      <c r="G425" s="266"/>
      <c r="H425" s="266">
        <f>IFERROR( VLOOKUP(A425,Descargas!$B$3:$I$94,3,FALSE),0)</f>
        <v>0</v>
      </c>
      <c r="I425" s="266">
        <f>IFERROR( VLOOKUP(A425,Descargas!$B$3:$I$94,4,FALSE),0)</f>
        <v>0</v>
      </c>
      <c r="J425" s="266">
        <f>IFERROR( VLOOKUP(A425,Descargas!$B$3:$I$94,5,FALSE),0)</f>
        <v>0</v>
      </c>
      <c r="K425" s="266">
        <f>IFERROR( VLOOKUP(A425,Descargas!$B$3:$I$94,6,FALSE),0)</f>
        <v>0</v>
      </c>
      <c r="L425" s="266">
        <f>IFERROR( VLOOKUP(A425,Descargas!$B$3:$I$94,7,FALSE),0)</f>
        <v>0</v>
      </c>
      <c r="AB425" s="123">
        <f t="shared" si="38"/>
        <v>0</v>
      </c>
      <c r="AC425" s="123">
        <f t="shared" si="38"/>
        <v>0</v>
      </c>
      <c r="AD425" s="123">
        <f t="shared" si="38"/>
        <v>0</v>
      </c>
      <c r="AE425" s="123">
        <f t="shared" si="38"/>
        <v>0</v>
      </c>
      <c r="AF425" s="123">
        <f t="shared" si="38"/>
        <v>0</v>
      </c>
      <c r="AG425" s="123">
        <f t="shared" si="38"/>
        <v>0</v>
      </c>
      <c r="AH425" s="122">
        <f t="shared" si="39"/>
        <v>0</v>
      </c>
    </row>
    <row r="426" spans="1:34" s="86" customFormat="1" ht="15.75">
      <c r="A426" s="125">
        <v>165</v>
      </c>
      <c r="B426" s="286">
        <f>IFERROR(VLOOKUP(A426,Cargas!$B$3:$I$93,9,FALSE),0)</f>
        <v>0</v>
      </c>
      <c r="C426" s="127" t="s">
        <v>113</v>
      </c>
      <c r="D426" s="271">
        <f t="shared" si="40"/>
        <v>0</v>
      </c>
      <c r="E426" s="268">
        <f t="shared" si="41"/>
        <v>0</v>
      </c>
      <c r="F426" s="266"/>
      <c r="G426" s="266"/>
      <c r="H426" s="266">
        <f>IFERROR( VLOOKUP(A426,Descargas!$B$3:$I$94,3,FALSE),0)</f>
        <v>0</v>
      </c>
      <c r="I426" s="266">
        <f>IFERROR( VLOOKUP(A426,Descargas!$B$3:$I$94,4,FALSE),0)</f>
        <v>0</v>
      </c>
      <c r="J426" s="266">
        <f>IFERROR( VLOOKUP(A426,Descargas!$B$3:$I$94,5,FALSE),0)</f>
        <v>0</v>
      </c>
      <c r="K426" s="266">
        <f>IFERROR( VLOOKUP(A426,Descargas!$B$3:$I$94,6,FALSE),0)</f>
        <v>0</v>
      </c>
      <c r="L426" s="266">
        <f>IFERROR( VLOOKUP(A426,Descargas!$B$3:$I$94,7,FALSE),0)</f>
        <v>0</v>
      </c>
      <c r="AB426" s="123">
        <f t="shared" si="38"/>
        <v>0</v>
      </c>
      <c r="AC426" s="123">
        <f t="shared" si="38"/>
        <v>0</v>
      </c>
      <c r="AD426" s="123">
        <f t="shared" si="38"/>
        <v>0</v>
      </c>
      <c r="AE426" s="123">
        <f t="shared" si="38"/>
        <v>0</v>
      </c>
      <c r="AF426" s="123">
        <f t="shared" si="38"/>
        <v>0</v>
      </c>
      <c r="AG426" s="123">
        <f t="shared" si="38"/>
        <v>0</v>
      </c>
      <c r="AH426" s="122">
        <f t="shared" si="39"/>
        <v>0</v>
      </c>
    </row>
    <row r="427" spans="1:34" s="86" customFormat="1" ht="15.75">
      <c r="A427" s="125">
        <v>166</v>
      </c>
      <c r="B427" s="286">
        <f>IFERROR(VLOOKUP(A427,Cargas!$B$3:$I$93,9,FALSE),0)</f>
        <v>0</v>
      </c>
      <c r="C427" s="127" t="s">
        <v>235</v>
      </c>
      <c r="D427" s="271">
        <f t="shared" si="40"/>
        <v>0</v>
      </c>
      <c r="E427" s="268">
        <f t="shared" si="41"/>
        <v>0</v>
      </c>
      <c r="F427" s="266"/>
      <c r="G427" s="266"/>
      <c r="H427" s="266">
        <f>IFERROR( VLOOKUP(A427,Descargas!$B$3:$I$94,3,FALSE),0)</f>
        <v>0</v>
      </c>
      <c r="I427" s="266">
        <f>IFERROR( VLOOKUP(A427,Descargas!$B$3:$I$94,4,FALSE),0)</f>
        <v>0</v>
      </c>
      <c r="J427" s="266">
        <f>IFERROR( VLOOKUP(A427,Descargas!$B$3:$I$94,5,FALSE),0)</f>
        <v>0</v>
      </c>
      <c r="K427" s="266">
        <f>IFERROR( VLOOKUP(A427,Descargas!$B$3:$I$94,6,FALSE),0)</f>
        <v>0</v>
      </c>
      <c r="L427" s="266">
        <f>IFERROR( VLOOKUP(A427,Descargas!$B$3:$I$94,7,FALSE),0)</f>
        <v>0</v>
      </c>
      <c r="AB427" s="123">
        <f t="shared" si="38"/>
        <v>0</v>
      </c>
      <c r="AC427" s="123">
        <f t="shared" si="38"/>
        <v>0</v>
      </c>
      <c r="AD427" s="123">
        <f t="shared" si="38"/>
        <v>0</v>
      </c>
      <c r="AE427" s="123">
        <f t="shared" si="38"/>
        <v>0</v>
      </c>
      <c r="AF427" s="123">
        <f t="shared" si="38"/>
        <v>0</v>
      </c>
      <c r="AG427" s="123">
        <f t="shared" si="38"/>
        <v>0</v>
      </c>
      <c r="AH427" s="122">
        <f t="shared" si="39"/>
        <v>0</v>
      </c>
    </row>
    <row r="428" spans="1:34" ht="15.75">
      <c r="A428" s="125">
        <v>167</v>
      </c>
      <c r="B428" s="286">
        <f>IFERROR(VLOOKUP(A428,Cargas!$B$3:$I$93,9,FALSE),0)</f>
        <v>0</v>
      </c>
      <c r="C428" s="127" t="s">
        <v>236</v>
      </c>
      <c r="D428" s="271">
        <f t="shared" si="40"/>
        <v>0</v>
      </c>
      <c r="E428" s="268">
        <f t="shared" si="41"/>
        <v>0</v>
      </c>
      <c r="F428" s="266"/>
      <c r="G428" s="266"/>
      <c r="H428" s="266">
        <f>IFERROR( VLOOKUP(A428,Descargas!$B$3:$I$94,3,FALSE),0)</f>
        <v>0</v>
      </c>
      <c r="I428" s="266">
        <f>IFERROR( VLOOKUP(A428,Descargas!$B$3:$I$94,4,FALSE),0)</f>
        <v>0</v>
      </c>
      <c r="J428" s="266">
        <f>IFERROR( VLOOKUP(A428,Descargas!$B$3:$I$94,5,FALSE),0)</f>
        <v>0</v>
      </c>
      <c r="K428" s="266">
        <f>IFERROR( VLOOKUP(A428,Descargas!$B$3:$I$94,6,FALSE),0)</f>
        <v>0</v>
      </c>
      <c r="L428" s="266">
        <f>IFERROR( VLOOKUP(A428,Descargas!$B$3:$I$94,7,FALSE),0)</f>
        <v>0</v>
      </c>
      <c r="AB428" s="123">
        <f t="shared" si="38"/>
        <v>0</v>
      </c>
      <c r="AC428" s="123">
        <f t="shared" si="38"/>
        <v>0</v>
      </c>
      <c r="AD428" s="123">
        <f t="shared" si="38"/>
        <v>0</v>
      </c>
      <c r="AE428" s="123">
        <f t="shared" si="38"/>
        <v>0</v>
      </c>
      <c r="AF428" s="123">
        <f t="shared" si="38"/>
        <v>0</v>
      </c>
      <c r="AG428" s="123">
        <f t="shared" si="38"/>
        <v>0</v>
      </c>
      <c r="AH428" s="122">
        <f t="shared" si="39"/>
        <v>0</v>
      </c>
    </row>
    <row r="429" spans="1:34" s="86" customFormat="1" ht="15.75">
      <c r="A429" s="125">
        <v>168</v>
      </c>
      <c r="B429" s="286">
        <f>IFERROR(VLOOKUP(A429,Cargas!$B$3:$I$93,9,FALSE),0)</f>
        <v>0</v>
      </c>
      <c r="C429" s="127" t="s">
        <v>99</v>
      </c>
      <c r="D429" s="271">
        <f t="shared" si="40"/>
        <v>0</v>
      </c>
      <c r="E429" s="268">
        <f t="shared" si="41"/>
        <v>0</v>
      </c>
      <c r="F429" s="266"/>
      <c r="G429" s="266"/>
      <c r="H429" s="266">
        <f>IFERROR( VLOOKUP(A429,Descargas!$B$3:$I$94,3,FALSE),0)</f>
        <v>0</v>
      </c>
      <c r="I429" s="266">
        <f>IFERROR( VLOOKUP(A429,Descargas!$B$3:$I$94,4,FALSE),0)</f>
        <v>0</v>
      </c>
      <c r="J429" s="266">
        <f>IFERROR( VLOOKUP(A429,Descargas!$B$3:$I$94,5,FALSE),0)</f>
        <v>0</v>
      </c>
      <c r="K429" s="266">
        <f>IFERROR( VLOOKUP(A429,Descargas!$B$3:$I$94,6,FALSE),0)</f>
        <v>0</v>
      </c>
      <c r="L429" s="266">
        <f>IFERROR( VLOOKUP(A429,Descargas!$B$3:$I$94,7,FALSE),0)</f>
        <v>0</v>
      </c>
      <c r="AB429" s="123">
        <f t="shared" si="38"/>
        <v>0</v>
      </c>
      <c r="AC429" s="123">
        <f t="shared" si="38"/>
        <v>0</v>
      </c>
      <c r="AD429" s="123">
        <f t="shared" si="38"/>
        <v>0</v>
      </c>
      <c r="AE429" s="123">
        <f t="shared" si="38"/>
        <v>0</v>
      </c>
      <c r="AF429" s="123">
        <f t="shared" si="38"/>
        <v>0</v>
      </c>
      <c r="AG429" s="123">
        <f t="shared" si="38"/>
        <v>0</v>
      </c>
      <c r="AH429" s="122">
        <f t="shared" si="39"/>
        <v>0</v>
      </c>
    </row>
    <row r="430" spans="1:34" s="86" customFormat="1" ht="15.75">
      <c r="A430" s="125">
        <v>169</v>
      </c>
      <c r="B430" s="286">
        <f>IFERROR(VLOOKUP(A430,Cargas!$B$3:$I$93,9,FALSE),0)</f>
        <v>0</v>
      </c>
      <c r="C430" s="127" t="s">
        <v>135</v>
      </c>
      <c r="D430" s="271">
        <f t="shared" si="40"/>
        <v>0</v>
      </c>
      <c r="E430" s="268">
        <f t="shared" si="41"/>
        <v>0</v>
      </c>
      <c r="F430" s="266"/>
      <c r="G430" s="266"/>
      <c r="H430" s="266">
        <f>IFERROR( VLOOKUP(A430,Descargas!$B$3:$I$94,3,FALSE),0)</f>
        <v>0</v>
      </c>
      <c r="I430" s="266">
        <f>IFERROR( VLOOKUP(A430,Descargas!$B$3:$I$94,4,FALSE),0)</f>
        <v>0</v>
      </c>
      <c r="J430" s="266">
        <f>IFERROR( VLOOKUP(A430,Descargas!$B$3:$I$94,5,FALSE),0)</f>
        <v>0</v>
      </c>
      <c r="K430" s="266">
        <f>IFERROR( VLOOKUP(A430,Descargas!$B$3:$I$94,6,FALSE),0)</f>
        <v>0</v>
      </c>
      <c r="L430" s="266">
        <f>IFERROR( VLOOKUP(A430,Descargas!$B$3:$I$94,7,FALSE),0)</f>
        <v>0</v>
      </c>
      <c r="AB430" s="123">
        <f t="shared" si="38"/>
        <v>0</v>
      </c>
      <c r="AC430" s="123">
        <f t="shared" si="38"/>
        <v>0</v>
      </c>
      <c r="AD430" s="123">
        <f t="shared" si="38"/>
        <v>0</v>
      </c>
      <c r="AE430" s="123">
        <f t="shared" si="38"/>
        <v>0</v>
      </c>
      <c r="AF430" s="123">
        <f t="shared" si="38"/>
        <v>0</v>
      </c>
      <c r="AG430" s="123">
        <f t="shared" si="38"/>
        <v>0</v>
      </c>
      <c r="AH430" s="122">
        <f t="shared" si="39"/>
        <v>0</v>
      </c>
    </row>
    <row r="431" spans="1:34" s="74" customFormat="1" ht="15.75">
      <c r="A431" s="125">
        <v>170</v>
      </c>
      <c r="B431" s="286">
        <f>IFERROR(VLOOKUP(A431,Cargas!$B$3:$I$93,9,FALSE),0)</f>
        <v>0</v>
      </c>
      <c r="C431" s="127" t="s">
        <v>185</v>
      </c>
      <c r="D431" s="271">
        <f t="shared" si="40"/>
        <v>0</v>
      </c>
      <c r="E431" s="268">
        <f t="shared" si="41"/>
        <v>0</v>
      </c>
      <c r="F431" s="266"/>
      <c r="G431" s="266"/>
      <c r="H431" s="266">
        <f>IFERROR( VLOOKUP(A431,Descargas!$B$3:$I$94,3,FALSE),0)</f>
        <v>0</v>
      </c>
      <c r="I431" s="266">
        <f>IFERROR( VLOOKUP(A431,Descargas!$B$3:$I$94,4,FALSE),0)</f>
        <v>0</v>
      </c>
      <c r="J431" s="266">
        <f>IFERROR( VLOOKUP(A431,Descargas!$B$3:$I$94,5,FALSE),0)</f>
        <v>0</v>
      </c>
      <c r="K431" s="266">
        <f>IFERROR( VLOOKUP(A431,Descargas!$B$3:$I$94,6,FALSE),0)</f>
        <v>0</v>
      </c>
      <c r="L431" s="266">
        <f>IFERROR( VLOOKUP(A431,Descargas!$B$3:$I$94,7,FALSE),0)</f>
        <v>0</v>
      </c>
      <c r="AB431" s="123">
        <f t="shared" si="38"/>
        <v>0</v>
      </c>
      <c r="AC431" s="123">
        <f t="shared" si="38"/>
        <v>0</v>
      </c>
      <c r="AD431" s="123">
        <f t="shared" si="38"/>
        <v>0</v>
      </c>
      <c r="AE431" s="123">
        <f t="shared" si="38"/>
        <v>0</v>
      </c>
      <c r="AF431" s="123">
        <f t="shared" si="38"/>
        <v>0</v>
      </c>
      <c r="AG431" s="123">
        <f t="shared" si="38"/>
        <v>0</v>
      </c>
      <c r="AH431" s="122">
        <f t="shared" si="39"/>
        <v>0</v>
      </c>
    </row>
    <row r="432" spans="1:34" s="86" customFormat="1" ht="15.75">
      <c r="A432" s="125">
        <v>171</v>
      </c>
      <c r="B432" s="286">
        <f>IFERROR(VLOOKUP(A432,Cargas!$B$3:$I$93,9,FALSE),0)</f>
        <v>0</v>
      </c>
      <c r="C432" s="127" t="s">
        <v>136</v>
      </c>
      <c r="D432" s="271">
        <f t="shared" ref="D432:D465" si="42">+SUM(H432:L432)</f>
        <v>0</v>
      </c>
      <c r="E432" s="268">
        <f t="shared" si="41"/>
        <v>0</v>
      </c>
      <c r="F432" s="266"/>
      <c r="G432" s="266"/>
      <c r="H432" s="266">
        <f>IFERROR( VLOOKUP(A432,Descargas!$B$3:$I$94,3,FALSE),0)</f>
        <v>0</v>
      </c>
      <c r="I432" s="266">
        <f>IFERROR( VLOOKUP(A432,Descargas!$B$3:$I$94,4,FALSE),0)</f>
        <v>0</v>
      </c>
      <c r="J432" s="266">
        <f>IFERROR( VLOOKUP(A432,Descargas!$B$3:$I$94,5,FALSE),0)</f>
        <v>0</v>
      </c>
      <c r="K432" s="266">
        <f>IFERROR( VLOOKUP(A432,Descargas!$B$3:$I$94,6,FALSE),0)</f>
        <v>0</v>
      </c>
      <c r="L432" s="266">
        <f>IFERROR( VLOOKUP(A432,Descargas!$B$3:$I$94,7,FALSE),0)</f>
        <v>0</v>
      </c>
      <c r="AB432" s="123">
        <f t="shared" si="38"/>
        <v>0</v>
      </c>
      <c r="AC432" s="123">
        <f t="shared" si="38"/>
        <v>0</v>
      </c>
      <c r="AD432" s="123">
        <f t="shared" si="38"/>
        <v>0</v>
      </c>
      <c r="AE432" s="123">
        <f t="shared" si="38"/>
        <v>0</v>
      </c>
      <c r="AF432" s="123">
        <f t="shared" si="38"/>
        <v>0</v>
      </c>
      <c r="AG432" s="123">
        <f t="shared" si="38"/>
        <v>0</v>
      </c>
      <c r="AH432" s="122">
        <f t="shared" si="39"/>
        <v>0</v>
      </c>
    </row>
    <row r="433" spans="1:34" s="86" customFormat="1" ht="15.75">
      <c r="A433" s="125">
        <v>172</v>
      </c>
      <c r="B433" s="286">
        <f>IFERROR(VLOOKUP(A433,Cargas!$B$3:$I$93,9,FALSE),0)</f>
        <v>0</v>
      </c>
      <c r="C433" s="127" t="s">
        <v>114</v>
      </c>
      <c r="D433" s="271">
        <f t="shared" si="42"/>
        <v>0</v>
      </c>
      <c r="E433" s="268">
        <f t="shared" si="41"/>
        <v>0</v>
      </c>
      <c r="F433" s="266"/>
      <c r="G433" s="266"/>
      <c r="H433" s="266">
        <f>IFERROR( VLOOKUP(A433,Descargas!$B$3:$I$94,3,FALSE),0)</f>
        <v>0</v>
      </c>
      <c r="I433" s="266">
        <f>IFERROR( VLOOKUP(A433,Descargas!$B$3:$I$94,4,FALSE),0)</f>
        <v>0</v>
      </c>
      <c r="J433" s="266">
        <f>IFERROR( VLOOKUP(A433,Descargas!$B$3:$I$94,5,FALSE),0)</f>
        <v>0</v>
      </c>
      <c r="K433" s="266">
        <f>IFERROR( VLOOKUP(A433,Descargas!$B$3:$I$94,6,FALSE),0)</f>
        <v>0</v>
      </c>
      <c r="L433" s="266">
        <f>IFERROR( VLOOKUP(A433,Descargas!$B$3:$I$94,7,FALSE),0)</f>
        <v>0</v>
      </c>
      <c r="AB433" s="123">
        <f t="shared" si="38"/>
        <v>0</v>
      </c>
      <c r="AC433" s="123">
        <f t="shared" si="38"/>
        <v>0</v>
      </c>
      <c r="AD433" s="123">
        <f t="shared" si="38"/>
        <v>0</v>
      </c>
      <c r="AE433" s="123">
        <f t="shared" si="38"/>
        <v>0</v>
      </c>
      <c r="AF433" s="123">
        <f t="shared" si="38"/>
        <v>0</v>
      </c>
      <c r="AG433" s="123">
        <f t="shared" si="38"/>
        <v>0</v>
      </c>
      <c r="AH433" s="122">
        <f t="shared" si="39"/>
        <v>0</v>
      </c>
    </row>
    <row r="434" spans="1:34" ht="15.75">
      <c r="A434" s="125">
        <v>173</v>
      </c>
      <c r="B434" s="286">
        <f>IFERROR(VLOOKUP(A434,Cargas!$B$3:$I$93,9,FALSE),0)</f>
        <v>0</v>
      </c>
      <c r="C434" s="127" t="s">
        <v>115</v>
      </c>
      <c r="D434" s="271">
        <f t="shared" si="42"/>
        <v>0</v>
      </c>
      <c r="E434" s="268">
        <f>+SUM(H434:L434)</f>
        <v>0</v>
      </c>
      <c r="F434" s="266"/>
      <c r="G434" s="266"/>
      <c r="H434" s="266">
        <f>IFERROR( VLOOKUP(A434,Descargas!$B$3:$I$94,3,FALSE),0)</f>
        <v>0</v>
      </c>
      <c r="I434" s="266">
        <f>IFERROR( VLOOKUP(A434,Descargas!$B$3:$I$94,4,FALSE),0)</f>
        <v>0</v>
      </c>
      <c r="J434" s="266">
        <f>IFERROR( VLOOKUP(A434,Descargas!$B$3:$I$94,5,FALSE),0)</f>
        <v>0</v>
      </c>
      <c r="K434" s="266">
        <f>IFERROR( VLOOKUP(A434,Descargas!$B$3:$I$94,6,FALSE),0)</f>
        <v>0</v>
      </c>
      <c r="L434" s="266">
        <f>IFERROR( VLOOKUP(A434,Descargas!$B$3:$I$94,7,FALSE),0)</f>
        <v>0</v>
      </c>
      <c r="AB434" s="123">
        <f t="shared" si="38"/>
        <v>0</v>
      </c>
      <c r="AC434" s="123">
        <f t="shared" si="38"/>
        <v>0</v>
      </c>
      <c r="AD434" s="123">
        <f t="shared" si="38"/>
        <v>0</v>
      </c>
      <c r="AE434" s="123">
        <f t="shared" ref="AE434:AG497" si="43">+J434/J$9</f>
        <v>0</v>
      </c>
      <c r="AF434" s="123">
        <f t="shared" si="43"/>
        <v>0</v>
      </c>
      <c r="AG434" s="123">
        <f t="shared" si="43"/>
        <v>0</v>
      </c>
      <c r="AH434" s="122">
        <f t="shared" si="39"/>
        <v>0</v>
      </c>
    </row>
    <row r="435" spans="1:34" s="86" customFormat="1" ht="15.75">
      <c r="A435" s="125">
        <v>174</v>
      </c>
      <c r="B435" s="286">
        <f>IFERROR(VLOOKUP(A435,Cargas!$B$3:$I$93,9,FALSE),0)</f>
        <v>0</v>
      </c>
      <c r="C435" s="127" t="s">
        <v>116</v>
      </c>
      <c r="D435" s="271">
        <f t="shared" si="42"/>
        <v>0</v>
      </c>
      <c r="E435" s="268">
        <f t="shared" si="41"/>
        <v>0</v>
      </c>
      <c r="F435" s="266"/>
      <c r="G435" s="266"/>
      <c r="H435" s="266">
        <f>IFERROR( VLOOKUP(A435,Descargas!$B$3:$I$94,3,FALSE),0)</f>
        <v>0</v>
      </c>
      <c r="I435" s="266">
        <f>IFERROR( VLOOKUP(A435,Descargas!$B$3:$I$94,4,FALSE),0)</f>
        <v>0</v>
      </c>
      <c r="J435" s="266">
        <f>IFERROR( VLOOKUP(A435,Descargas!$B$3:$I$94,5,FALSE),0)</f>
        <v>0</v>
      </c>
      <c r="K435" s="266">
        <f>IFERROR( VLOOKUP(A435,Descargas!$B$3:$I$94,6,FALSE),0)</f>
        <v>0</v>
      </c>
      <c r="L435" s="266">
        <f>IFERROR( VLOOKUP(A435,Descargas!$B$3:$I$94,7,FALSE),0)</f>
        <v>0</v>
      </c>
      <c r="AB435" s="123">
        <f t="shared" ref="AB435:AG498" si="44">+G435/G$9</f>
        <v>0</v>
      </c>
      <c r="AC435" s="123">
        <f t="shared" si="44"/>
        <v>0</v>
      </c>
      <c r="AD435" s="123">
        <f t="shared" si="44"/>
        <v>0</v>
      </c>
      <c r="AE435" s="123">
        <f t="shared" si="43"/>
        <v>0</v>
      </c>
      <c r="AF435" s="123">
        <f t="shared" si="43"/>
        <v>0</v>
      </c>
      <c r="AG435" s="123">
        <f t="shared" si="43"/>
        <v>0</v>
      </c>
      <c r="AH435" s="122">
        <f t="shared" si="39"/>
        <v>0</v>
      </c>
    </row>
    <row r="436" spans="1:34" s="86" customFormat="1" ht="15.75">
      <c r="A436" s="125">
        <v>175</v>
      </c>
      <c r="B436" s="286">
        <f>IFERROR(VLOOKUP(A436,Cargas!$B$3:$I$93,9,FALSE),0)</f>
        <v>0</v>
      </c>
      <c r="C436" s="127" t="s">
        <v>117</v>
      </c>
      <c r="D436" s="271">
        <f t="shared" si="42"/>
        <v>0</v>
      </c>
      <c r="E436" s="268">
        <f t="shared" si="41"/>
        <v>0</v>
      </c>
      <c r="F436" s="266"/>
      <c r="G436" s="266"/>
      <c r="H436" s="266">
        <f>IFERROR( VLOOKUP(A436,Descargas!$B$3:$I$94,3,FALSE),0)</f>
        <v>0</v>
      </c>
      <c r="I436" s="266">
        <f>IFERROR( VLOOKUP(A436,Descargas!$B$3:$I$94,4,FALSE),0)</f>
        <v>0</v>
      </c>
      <c r="J436" s="266">
        <f>IFERROR( VLOOKUP(A436,Descargas!$B$3:$I$94,5,FALSE),0)</f>
        <v>0</v>
      </c>
      <c r="K436" s="266">
        <f>IFERROR( VLOOKUP(A436,Descargas!$B$3:$I$94,6,FALSE),0)</f>
        <v>0</v>
      </c>
      <c r="L436" s="266">
        <f>IFERROR( VLOOKUP(A436,Descargas!$B$3:$I$94,7,FALSE),0)</f>
        <v>0</v>
      </c>
      <c r="AB436" s="123">
        <f t="shared" si="44"/>
        <v>0</v>
      </c>
      <c r="AC436" s="123">
        <f t="shared" si="44"/>
        <v>0</v>
      </c>
      <c r="AD436" s="123">
        <f t="shared" si="44"/>
        <v>0</v>
      </c>
      <c r="AE436" s="123">
        <f t="shared" si="43"/>
        <v>0</v>
      </c>
      <c r="AF436" s="123">
        <f t="shared" si="43"/>
        <v>0</v>
      </c>
      <c r="AG436" s="123">
        <f t="shared" si="43"/>
        <v>0</v>
      </c>
      <c r="AH436" s="122">
        <f t="shared" si="39"/>
        <v>0</v>
      </c>
    </row>
    <row r="437" spans="1:34" ht="15.75">
      <c r="A437" s="125">
        <v>176</v>
      </c>
      <c r="B437" s="286">
        <f>IFERROR(VLOOKUP(A437,Cargas!$B$3:$I$93,9,FALSE),0)</f>
        <v>0</v>
      </c>
      <c r="C437" s="127" t="s">
        <v>104</v>
      </c>
      <c r="D437" s="271">
        <f t="shared" si="42"/>
        <v>0</v>
      </c>
      <c r="E437" s="268">
        <f t="shared" si="41"/>
        <v>0</v>
      </c>
      <c r="F437" s="266"/>
      <c r="G437" s="266"/>
      <c r="H437" s="266">
        <f>IFERROR( VLOOKUP(A437,Descargas!$B$3:$I$94,3,FALSE),0)</f>
        <v>0</v>
      </c>
      <c r="I437" s="266">
        <f>IFERROR( VLOOKUP(A437,Descargas!$B$3:$I$94,4,FALSE),0)</f>
        <v>0</v>
      </c>
      <c r="J437" s="266">
        <f>IFERROR( VLOOKUP(A437,Descargas!$B$3:$I$94,5,FALSE),0)</f>
        <v>0</v>
      </c>
      <c r="K437" s="266">
        <f>IFERROR( VLOOKUP(A437,Descargas!$B$3:$I$94,6,FALSE),0)</f>
        <v>0</v>
      </c>
      <c r="L437" s="266">
        <f>IFERROR( VLOOKUP(A437,Descargas!$B$3:$I$94,7,FALSE),0)</f>
        <v>0</v>
      </c>
      <c r="AB437" s="123">
        <f t="shared" si="44"/>
        <v>0</v>
      </c>
      <c r="AC437" s="123">
        <f t="shared" si="44"/>
        <v>0</v>
      </c>
      <c r="AD437" s="123">
        <f t="shared" si="44"/>
        <v>0</v>
      </c>
      <c r="AE437" s="123">
        <f t="shared" si="43"/>
        <v>0</v>
      </c>
      <c r="AF437" s="123">
        <f t="shared" si="43"/>
        <v>0</v>
      </c>
      <c r="AG437" s="123">
        <f t="shared" si="43"/>
        <v>0</v>
      </c>
      <c r="AH437" s="122">
        <f t="shared" si="39"/>
        <v>0</v>
      </c>
    </row>
    <row r="438" spans="1:34" s="86" customFormat="1" ht="15.75">
      <c r="A438" s="125">
        <v>177</v>
      </c>
      <c r="B438" s="286">
        <f>IFERROR(VLOOKUP(A438,Cargas!$B$3:$I$93,9,FALSE),0)</f>
        <v>0</v>
      </c>
      <c r="C438" s="127" t="s">
        <v>186</v>
      </c>
      <c r="D438" s="271">
        <f t="shared" si="42"/>
        <v>0</v>
      </c>
      <c r="E438" s="268">
        <f t="shared" si="41"/>
        <v>0</v>
      </c>
      <c r="F438" s="266"/>
      <c r="G438" s="266"/>
      <c r="H438" s="266">
        <f>IFERROR( VLOOKUP(A438,Descargas!$B$3:$I$94,3,FALSE),0)</f>
        <v>0</v>
      </c>
      <c r="I438" s="266">
        <f>IFERROR( VLOOKUP(A438,Descargas!$B$3:$I$94,4,FALSE),0)</f>
        <v>0</v>
      </c>
      <c r="J438" s="266">
        <f>IFERROR( VLOOKUP(A438,Descargas!$B$3:$I$94,5,FALSE),0)</f>
        <v>0</v>
      </c>
      <c r="K438" s="266">
        <f>IFERROR( VLOOKUP(A438,Descargas!$B$3:$I$94,6,FALSE),0)</f>
        <v>0</v>
      </c>
      <c r="L438" s="266">
        <f>IFERROR( VLOOKUP(A438,Descargas!$B$3:$I$94,7,FALSE),0)</f>
        <v>0</v>
      </c>
      <c r="AB438" s="123">
        <f t="shared" si="44"/>
        <v>0</v>
      </c>
      <c r="AC438" s="123">
        <f t="shared" si="44"/>
        <v>0</v>
      </c>
      <c r="AD438" s="123">
        <f t="shared" si="44"/>
        <v>0</v>
      </c>
      <c r="AE438" s="123">
        <f t="shared" si="43"/>
        <v>0</v>
      </c>
      <c r="AF438" s="123">
        <f t="shared" si="43"/>
        <v>0</v>
      </c>
      <c r="AG438" s="123">
        <f t="shared" si="43"/>
        <v>0</v>
      </c>
      <c r="AH438" s="122">
        <f t="shared" si="39"/>
        <v>0</v>
      </c>
    </row>
    <row r="439" spans="1:34" s="86" customFormat="1" ht="15.75">
      <c r="A439" s="125">
        <v>178</v>
      </c>
      <c r="B439" s="286">
        <f>IFERROR(VLOOKUP(A439,Cargas!$B$3:$I$93,9,FALSE),0)</f>
        <v>0</v>
      </c>
      <c r="C439" s="127" t="s">
        <v>187</v>
      </c>
      <c r="D439" s="271">
        <f t="shared" si="42"/>
        <v>0</v>
      </c>
      <c r="E439" s="268">
        <f t="shared" si="41"/>
        <v>0</v>
      </c>
      <c r="F439" s="266"/>
      <c r="G439" s="266"/>
      <c r="H439" s="266">
        <f>IFERROR( VLOOKUP(A439,Descargas!$B$3:$I$94,3,FALSE),0)</f>
        <v>0</v>
      </c>
      <c r="I439" s="266">
        <f>IFERROR( VLOOKUP(A439,Descargas!$B$3:$I$94,4,FALSE),0)</f>
        <v>0</v>
      </c>
      <c r="J439" s="266">
        <f>IFERROR( VLOOKUP(A439,Descargas!$B$3:$I$94,5,FALSE),0)</f>
        <v>0</v>
      </c>
      <c r="K439" s="266">
        <f>IFERROR( VLOOKUP(A439,Descargas!$B$3:$I$94,6,FALSE),0)</f>
        <v>0</v>
      </c>
      <c r="L439" s="266">
        <f>IFERROR( VLOOKUP(A439,Descargas!$B$3:$I$94,7,FALSE),0)</f>
        <v>0</v>
      </c>
      <c r="AB439" s="123">
        <f t="shared" si="44"/>
        <v>0</v>
      </c>
      <c r="AC439" s="123">
        <f t="shared" si="44"/>
        <v>0</v>
      </c>
      <c r="AD439" s="123">
        <f t="shared" si="44"/>
        <v>0</v>
      </c>
      <c r="AE439" s="123">
        <f t="shared" si="43"/>
        <v>0</v>
      </c>
      <c r="AF439" s="123">
        <f t="shared" si="43"/>
        <v>0</v>
      </c>
      <c r="AG439" s="123">
        <f t="shared" si="43"/>
        <v>0</v>
      </c>
      <c r="AH439" s="122">
        <f t="shared" si="39"/>
        <v>0</v>
      </c>
    </row>
    <row r="440" spans="1:34" ht="15.75">
      <c r="A440" s="125">
        <v>179</v>
      </c>
      <c r="B440" s="286">
        <f>IFERROR(VLOOKUP(A440,Cargas!$B$3:$I$93,9,FALSE),0)</f>
        <v>0</v>
      </c>
      <c r="C440" s="127" t="s">
        <v>105</v>
      </c>
      <c r="D440" s="271">
        <f t="shared" si="42"/>
        <v>0</v>
      </c>
      <c r="E440" s="268">
        <f t="shared" si="41"/>
        <v>0</v>
      </c>
      <c r="F440" s="266"/>
      <c r="G440" s="266"/>
      <c r="H440" s="266">
        <f>IFERROR( VLOOKUP(A440,Descargas!$B$3:$I$94,3,FALSE),0)</f>
        <v>0</v>
      </c>
      <c r="I440" s="266">
        <f>IFERROR( VLOOKUP(A440,Descargas!$B$3:$I$94,4,FALSE),0)</f>
        <v>0</v>
      </c>
      <c r="J440" s="266">
        <f>IFERROR( VLOOKUP(A440,Descargas!$B$3:$I$94,5,FALSE),0)</f>
        <v>0</v>
      </c>
      <c r="K440" s="266">
        <f>IFERROR( VLOOKUP(A440,Descargas!$B$3:$I$94,6,FALSE),0)</f>
        <v>0</v>
      </c>
      <c r="L440" s="266">
        <f>IFERROR( VLOOKUP(A440,Descargas!$B$3:$I$94,7,FALSE),0)</f>
        <v>0</v>
      </c>
      <c r="AB440" s="123">
        <f t="shared" si="44"/>
        <v>0</v>
      </c>
      <c r="AC440" s="123">
        <f t="shared" si="44"/>
        <v>0</v>
      </c>
      <c r="AD440" s="123">
        <f t="shared" si="44"/>
        <v>0</v>
      </c>
      <c r="AE440" s="123">
        <f t="shared" si="43"/>
        <v>0</v>
      </c>
      <c r="AF440" s="123">
        <f t="shared" si="43"/>
        <v>0</v>
      </c>
      <c r="AG440" s="123">
        <f t="shared" si="43"/>
        <v>0</v>
      </c>
      <c r="AH440" s="122">
        <f t="shared" si="39"/>
        <v>0</v>
      </c>
    </row>
    <row r="441" spans="1:34" s="86" customFormat="1" ht="15.75">
      <c r="A441" s="125">
        <v>180</v>
      </c>
      <c r="B441" s="286">
        <f>IFERROR(VLOOKUP(A441,Cargas!$B$3:$I$93,9,FALSE),0)</f>
        <v>0</v>
      </c>
      <c r="C441" s="127" t="s">
        <v>118</v>
      </c>
      <c r="D441" s="271">
        <f>+SUM(H441:L441)</f>
        <v>0</v>
      </c>
      <c r="E441" s="268">
        <f t="shared" si="41"/>
        <v>0</v>
      </c>
      <c r="F441" s="263"/>
      <c r="G441" s="266"/>
      <c r="H441" s="266">
        <f>IFERROR( VLOOKUP(A441,Descargas!$B$3:$I$94,3,FALSE),0)</f>
        <v>0</v>
      </c>
      <c r="I441" s="266">
        <f>IFERROR( VLOOKUP(A441,Descargas!$B$3:$I$94,4,FALSE),0)</f>
        <v>0</v>
      </c>
      <c r="J441" s="266">
        <f>IFERROR( VLOOKUP(A441,Descargas!$B$3:$I$94,5,FALSE),0)</f>
        <v>0</v>
      </c>
      <c r="K441" s="266">
        <f>IFERROR( VLOOKUP(A441,Descargas!$B$3:$I$94,6,FALSE),0)</f>
        <v>0</v>
      </c>
      <c r="L441" s="266">
        <f>IFERROR( VLOOKUP(A441,Descargas!$B$3:$I$94,7,FALSE),0)</f>
        <v>0</v>
      </c>
      <c r="AB441" s="123">
        <f t="shared" si="44"/>
        <v>0</v>
      </c>
      <c r="AC441" s="123">
        <f t="shared" si="44"/>
        <v>0</v>
      </c>
      <c r="AD441" s="123">
        <f t="shared" si="44"/>
        <v>0</v>
      </c>
      <c r="AE441" s="123">
        <f t="shared" si="43"/>
        <v>0</v>
      </c>
      <c r="AF441" s="123">
        <f t="shared" si="43"/>
        <v>0</v>
      </c>
      <c r="AG441" s="123">
        <f t="shared" si="43"/>
        <v>0</v>
      </c>
      <c r="AH441" s="122">
        <f t="shared" si="39"/>
        <v>0</v>
      </c>
    </row>
    <row r="442" spans="1:34" s="86" customFormat="1" ht="15.75">
      <c r="A442" s="125">
        <v>182</v>
      </c>
      <c r="B442" s="286">
        <f>IFERROR(VLOOKUP(A442,Cargas!$B$3:$I$93,9,FALSE),0)</f>
        <v>0</v>
      </c>
      <c r="C442" s="127" t="s">
        <v>119</v>
      </c>
      <c r="D442" s="271">
        <f t="shared" si="42"/>
        <v>0</v>
      </c>
      <c r="E442" s="268">
        <f t="shared" si="41"/>
        <v>0</v>
      </c>
      <c r="F442" s="263"/>
      <c r="G442" s="266"/>
      <c r="H442" s="266">
        <f>IFERROR( VLOOKUP(A442,Descargas!$B$3:$I$94,3,FALSE),0)</f>
        <v>0</v>
      </c>
      <c r="I442" s="266">
        <f>IFERROR( VLOOKUP(A442,Descargas!$B$3:$I$94,4,FALSE),0)</f>
        <v>0</v>
      </c>
      <c r="J442" s="266">
        <f>IFERROR( VLOOKUP(A442,Descargas!$B$3:$I$94,5,FALSE),0)</f>
        <v>0</v>
      </c>
      <c r="K442" s="266">
        <f>IFERROR( VLOOKUP(A442,Descargas!$B$3:$I$94,6,FALSE),0)</f>
        <v>0</v>
      </c>
      <c r="L442" s="266">
        <f>IFERROR( VLOOKUP(A442,Descargas!$B$3:$I$94,7,FALSE),0)</f>
        <v>0</v>
      </c>
      <c r="AB442" s="123">
        <f t="shared" si="44"/>
        <v>0</v>
      </c>
      <c r="AC442" s="123">
        <f t="shared" si="44"/>
        <v>0</v>
      </c>
      <c r="AD442" s="123">
        <f t="shared" si="44"/>
        <v>0</v>
      </c>
      <c r="AE442" s="123">
        <f t="shared" si="43"/>
        <v>0</v>
      </c>
      <c r="AF442" s="123">
        <f t="shared" si="43"/>
        <v>0</v>
      </c>
      <c r="AG442" s="123">
        <f t="shared" si="43"/>
        <v>0</v>
      </c>
      <c r="AH442" s="122">
        <f t="shared" si="39"/>
        <v>0</v>
      </c>
    </row>
    <row r="443" spans="1:34" ht="15.75">
      <c r="A443" s="125">
        <v>183</v>
      </c>
      <c r="B443" s="286">
        <f>IFERROR(VLOOKUP(A443,Cargas!$B$3:$I$93,9,FALSE),0)</f>
        <v>0</v>
      </c>
      <c r="C443" s="127" t="s">
        <v>188</v>
      </c>
      <c r="D443" s="271">
        <f t="shared" si="42"/>
        <v>0</v>
      </c>
      <c r="E443" s="268">
        <f>+SUM(H443:L443)</f>
        <v>0</v>
      </c>
      <c r="F443" s="266"/>
      <c r="G443" s="266"/>
      <c r="H443" s="266">
        <f>IFERROR( VLOOKUP(A443,Descargas!$B$3:$I$94,3,FALSE),0)</f>
        <v>0</v>
      </c>
      <c r="I443" s="266">
        <f>IFERROR( VLOOKUP(A443,Descargas!$B$3:$I$94,4,FALSE),0)</f>
        <v>0</v>
      </c>
      <c r="J443" s="266">
        <f>IFERROR( VLOOKUP(A443,Descargas!$B$3:$I$94,5,FALSE),0)</f>
        <v>0</v>
      </c>
      <c r="K443" s="266">
        <f>IFERROR( VLOOKUP(A443,Descargas!$B$3:$I$94,6,FALSE),0)</f>
        <v>0</v>
      </c>
      <c r="L443" s="266">
        <f>IFERROR( VLOOKUP(A443,Descargas!$B$3:$I$94,7,FALSE),0)</f>
        <v>0</v>
      </c>
      <c r="AB443" s="123">
        <f t="shared" si="44"/>
        <v>0</v>
      </c>
      <c r="AC443" s="123">
        <f t="shared" si="44"/>
        <v>0</v>
      </c>
      <c r="AD443" s="123">
        <f t="shared" si="44"/>
        <v>0</v>
      </c>
      <c r="AE443" s="123">
        <f t="shared" si="43"/>
        <v>0</v>
      </c>
      <c r="AF443" s="123">
        <f t="shared" si="43"/>
        <v>0</v>
      </c>
      <c r="AG443" s="123">
        <f t="shared" si="43"/>
        <v>0</v>
      </c>
      <c r="AH443" s="122">
        <f t="shared" si="39"/>
        <v>0</v>
      </c>
    </row>
    <row r="444" spans="1:34" s="86" customFormat="1" ht="15.75">
      <c r="A444" s="125">
        <v>184</v>
      </c>
      <c r="B444" s="286">
        <f>IFERROR(VLOOKUP(A444,Cargas!$B$3:$I$93,9,FALSE),0)</f>
        <v>0</v>
      </c>
      <c r="C444" s="127" t="s">
        <v>189</v>
      </c>
      <c r="D444" s="271">
        <f t="shared" si="42"/>
        <v>0</v>
      </c>
      <c r="E444" s="268">
        <f t="shared" si="41"/>
        <v>0</v>
      </c>
      <c r="F444" s="266"/>
      <c r="G444" s="266"/>
      <c r="H444" s="266">
        <f>IFERROR( VLOOKUP(A444,Descargas!$B$3:$I$94,3,FALSE),0)</f>
        <v>0</v>
      </c>
      <c r="I444" s="266">
        <f>IFERROR( VLOOKUP(A444,Descargas!$B$3:$I$94,4,FALSE),0)</f>
        <v>0</v>
      </c>
      <c r="J444" s="266">
        <f>IFERROR( VLOOKUP(A444,Descargas!$B$3:$I$94,5,FALSE),0)</f>
        <v>0</v>
      </c>
      <c r="K444" s="266">
        <f>IFERROR( VLOOKUP(A444,Descargas!$B$3:$I$94,6,FALSE),0)</f>
        <v>0</v>
      </c>
      <c r="L444" s="266">
        <f>IFERROR( VLOOKUP(A444,Descargas!$B$3:$I$94,7,FALSE),0)</f>
        <v>0</v>
      </c>
      <c r="AB444" s="123">
        <f t="shared" si="44"/>
        <v>0</v>
      </c>
      <c r="AC444" s="123">
        <f t="shared" si="44"/>
        <v>0</v>
      </c>
      <c r="AD444" s="123">
        <f t="shared" si="44"/>
        <v>0</v>
      </c>
      <c r="AE444" s="123">
        <f t="shared" si="43"/>
        <v>0</v>
      </c>
      <c r="AF444" s="123">
        <f t="shared" si="43"/>
        <v>0</v>
      </c>
      <c r="AG444" s="123">
        <f t="shared" si="43"/>
        <v>0</v>
      </c>
      <c r="AH444" s="122">
        <f t="shared" si="39"/>
        <v>0</v>
      </c>
    </row>
    <row r="445" spans="1:34" s="86" customFormat="1" ht="15.75">
      <c r="A445" s="125">
        <v>185</v>
      </c>
      <c r="B445" s="286">
        <f>IFERROR(VLOOKUP(A445,Cargas!$B$3:$I$93,9,FALSE),0)</f>
        <v>0</v>
      </c>
      <c r="C445" s="127">
        <v>185</v>
      </c>
      <c r="D445" s="271">
        <f t="shared" si="42"/>
        <v>0</v>
      </c>
      <c r="E445" s="268">
        <f t="shared" si="41"/>
        <v>0</v>
      </c>
      <c r="F445" s="266"/>
      <c r="G445" s="266"/>
      <c r="H445" s="266">
        <f>IFERROR( VLOOKUP(A445,Descargas!$B$3:$I$94,3,FALSE),0)</f>
        <v>0</v>
      </c>
      <c r="I445" s="266">
        <f>IFERROR( VLOOKUP(A445,Descargas!$B$3:$I$94,4,FALSE),0)</f>
        <v>0</v>
      </c>
      <c r="J445" s="266">
        <f>IFERROR( VLOOKUP(A445,Descargas!$B$3:$I$94,5,FALSE),0)</f>
        <v>0</v>
      </c>
      <c r="K445" s="266">
        <f>IFERROR( VLOOKUP(A445,Descargas!$B$3:$I$94,6,FALSE),0)</f>
        <v>0</v>
      </c>
      <c r="L445" s="266">
        <f>IFERROR( VLOOKUP(A445,Descargas!$B$3:$I$94,7,FALSE),0)</f>
        <v>0</v>
      </c>
      <c r="AB445" s="123">
        <f t="shared" si="44"/>
        <v>0</v>
      </c>
      <c r="AC445" s="123">
        <f t="shared" si="44"/>
        <v>0</v>
      </c>
      <c r="AD445" s="123">
        <f t="shared" si="44"/>
        <v>0</v>
      </c>
      <c r="AE445" s="123">
        <f t="shared" si="43"/>
        <v>0</v>
      </c>
      <c r="AF445" s="123">
        <f t="shared" si="43"/>
        <v>0</v>
      </c>
      <c r="AG445" s="123">
        <f t="shared" si="43"/>
        <v>0</v>
      </c>
      <c r="AH445" s="122">
        <f t="shared" si="39"/>
        <v>0</v>
      </c>
    </row>
    <row r="446" spans="1:34" s="86" customFormat="1" ht="15.75">
      <c r="A446" s="125">
        <v>187</v>
      </c>
      <c r="B446" s="286">
        <f>IFERROR(VLOOKUP(A446,Cargas!$B$3:$I$93,9,FALSE),0)</f>
        <v>0</v>
      </c>
      <c r="C446" s="127" t="s">
        <v>120</v>
      </c>
      <c r="D446" s="271">
        <f t="shared" si="42"/>
        <v>0</v>
      </c>
      <c r="E446" s="268">
        <f>+SUM(H446:L446)</f>
        <v>0</v>
      </c>
      <c r="F446" s="266"/>
      <c r="G446" s="266"/>
      <c r="H446" s="266">
        <f>IFERROR( VLOOKUP(A446,Descargas!$B$3:$I$94,3,FALSE),0)</f>
        <v>0</v>
      </c>
      <c r="I446" s="266">
        <f>IFERROR( VLOOKUP(A446,Descargas!$B$3:$I$94,4,FALSE),0)</f>
        <v>0</v>
      </c>
      <c r="J446" s="266">
        <f>IFERROR( VLOOKUP(A446,Descargas!$B$3:$I$94,5,FALSE),0)</f>
        <v>0</v>
      </c>
      <c r="K446" s="266">
        <f>IFERROR( VLOOKUP(A446,Descargas!$B$3:$I$94,6,FALSE),0)</f>
        <v>0</v>
      </c>
      <c r="L446" s="266">
        <f>IFERROR( VLOOKUP(A446,Descargas!$B$3:$I$94,7,FALSE),0)</f>
        <v>0</v>
      </c>
      <c r="AB446" s="123">
        <f t="shared" si="44"/>
        <v>0</v>
      </c>
      <c r="AC446" s="123">
        <f t="shared" si="44"/>
        <v>0</v>
      </c>
      <c r="AD446" s="123">
        <f t="shared" si="44"/>
        <v>0</v>
      </c>
      <c r="AE446" s="123">
        <f t="shared" si="43"/>
        <v>0</v>
      </c>
      <c r="AF446" s="123">
        <f t="shared" si="43"/>
        <v>0</v>
      </c>
      <c r="AG446" s="123">
        <f t="shared" si="43"/>
        <v>0</v>
      </c>
      <c r="AH446" s="122">
        <f t="shared" si="39"/>
        <v>0</v>
      </c>
    </row>
    <row r="447" spans="1:34" ht="15.75">
      <c r="A447" s="125">
        <v>188</v>
      </c>
      <c r="B447" s="286">
        <f>IFERROR(VLOOKUP(A447,Cargas!$B$3:$I$93,9,FALSE),0)</f>
        <v>0</v>
      </c>
      <c r="C447" s="127" t="s">
        <v>121</v>
      </c>
      <c r="D447" s="271">
        <f t="shared" si="42"/>
        <v>0</v>
      </c>
      <c r="E447" s="268">
        <f>+SUM(H447:L447)</f>
        <v>0</v>
      </c>
      <c r="F447" s="266"/>
      <c r="G447" s="266"/>
      <c r="H447" s="266">
        <f>IFERROR( VLOOKUP(A447,Descargas!$B$3:$I$94,3,FALSE),0)</f>
        <v>0</v>
      </c>
      <c r="I447" s="266">
        <f>IFERROR( VLOOKUP(A447,Descargas!$B$3:$I$94,4,FALSE),0)</f>
        <v>0</v>
      </c>
      <c r="J447" s="266">
        <f>IFERROR( VLOOKUP(A447,Descargas!$B$3:$I$94,5,FALSE),0)</f>
        <v>0</v>
      </c>
      <c r="K447" s="266">
        <f>IFERROR( VLOOKUP(A447,Descargas!$B$3:$I$94,6,FALSE),0)</f>
        <v>0</v>
      </c>
      <c r="L447" s="266">
        <f>IFERROR( VLOOKUP(A447,Descargas!$B$3:$I$94,7,FALSE),0)</f>
        <v>0</v>
      </c>
      <c r="AB447" s="123">
        <f t="shared" si="44"/>
        <v>0</v>
      </c>
      <c r="AC447" s="123">
        <f t="shared" si="44"/>
        <v>0</v>
      </c>
      <c r="AD447" s="123">
        <f t="shared" si="44"/>
        <v>0</v>
      </c>
      <c r="AE447" s="123">
        <f t="shared" si="43"/>
        <v>0</v>
      </c>
      <c r="AF447" s="123">
        <f t="shared" si="43"/>
        <v>0</v>
      </c>
      <c r="AG447" s="123">
        <f t="shared" si="43"/>
        <v>0</v>
      </c>
      <c r="AH447" s="122">
        <f t="shared" si="39"/>
        <v>0</v>
      </c>
    </row>
    <row r="448" spans="1:34" s="86" customFormat="1" ht="15.75">
      <c r="A448" s="125">
        <v>189</v>
      </c>
      <c r="B448" s="286">
        <f>IFERROR(VLOOKUP(A448,Cargas!$B$3:$I$93,9,FALSE),0)</f>
        <v>0</v>
      </c>
      <c r="C448" s="127" t="s">
        <v>122</v>
      </c>
      <c r="D448" s="271">
        <f t="shared" si="42"/>
        <v>0</v>
      </c>
      <c r="E448" s="268">
        <f>+SUM(H448:L448)</f>
        <v>0</v>
      </c>
      <c r="F448" s="266"/>
      <c r="G448" s="266"/>
      <c r="H448" s="266">
        <f>IFERROR( VLOOKUP(A448,Descargas!$B$3:$I$94,3,FALSE),0)</f>
        <v>0</v>
      </c>
      <c r="I448" s="266">
        <f>IFERROR( VLOOKUP(A448,Descargas!$B$3:$I$94,4,FALSE),0)</f>
        <v>0</v>
      </c>
      <c r="J448" s="266">
        <f>IFERROR( VLOOKUP(A448,Descargas!$B$3:$I$94,5,FALSE),0)</f>
        <v>0</v>
      </c>
      <c r="K448" s="266">
        <f>IFERROR( VLOOKUP(A448,Descargas!$B$3:$I$94,6,FALSE),0)</f>
        <v>0</v>
      </c>
      <c r="L448" s="266">
        <f>IFERROR( VLOOKUP(A448,Descargas!$B$3:$I$94,7,FALSE),0)</f>
        <v>0</v>
      </c>
      <c r="AB448" s="123">
        <f t="shared" si="44"/>
        <v>0</v>
      </c>
      <c r="AC448" s="123">
        <f t="shared" si="44"/>
        <v>0</v>
      </c>
      <c r="AD448" s="123">
        <f t="shared" si="44"/>
        <v>0</v>
      </c>
      <c r="AE448" s="123">
        <f t="shared" si="43"/>
        <v>0</v>
      </c>
      <c r="AF448" s="123">
        <f t="shared" si="43"/>
        <v>0</v>
      </c>
      <c r="AG448" s="123">
        <f t="shared" si="43"/>
        <v>0</v>
      </c>
      <c r="AH448" s="122">
        <f t="shared" si="39"/>
        <v>0</v>
      </c>
    </row>
    <row r="449" spans="1:34" s="86" customFormat="1" ht="15.75">
      <c r="A449" s="125">
        <v>190</v>
      </c>
      <c r="B449" s="286">
        <f>IFERROR(VLOOKUP(A449,Cargas!$B$3:$I$93,9,FALSE),0)</f>
        <v>0</v>
      </c>
      <c r="C449" s="127" t="s">
        <v>123</v>
      </c>
      <c r="D449" s="271">
        <f t="shared" si="42"/>
        <v>0</v>
      </c>
      <c r="E449" s="268">
        <f>+SUM(H449:L449)</f>
        <v>0</v>
      </c>
      <c r="F449" s="266"/>
      <c r="G449" s="266"/>
      <c r="H449" s="266">
        <f>IFERROR( VLOOKUP(A449,Descargas!$B$3:$I$94,3,FALSE),0)</f>
        <v>0</v>
      </c>
      <c r="I449" s="266">
        <f>IFERROR( VLOOKUP(A449,Descargas!$B$3:$I$94,4,FALSE),0)</f>
        <v>0</v>
      </c>
      <c r="J449" s="266">
        <f>IFERROR( VLOOKUP(A449,Descargas!$B$3:$I$94,5,FALSE),0)</f>
        <v>0</v>
      </c>
      <c r="K449" s="266">
        <f>IFERROR( VLOOKUP(A449,Descargas!$B$3:$I$94,6,FALSE),0)</f>
        <v>0</v>
      </c>
      <c r="L449" s="266">
        <f>IFERROR( VLOOKUP(A449,Descargas!$B$3:$I$94,7,FALSE),0)</f>
        <v>0</v>
      </c>
      <c r="AB449" s="123">
        <f t="shared" si="44"/>
        <v>0</v>
      </c>
      <c r="AC449" s="123">
        <f t="shared" si="44"/>
        <v>0</v>
      </c>
      <c r="AD449" s="123">
        <f t="shared" si="44"/>
        <v>0</v>
      </c>
      <c r="AE449" s="123">
        <f t="shared" si="43"/>
        <v>0</v>
      </c>
      <c r="AF449" s="123">
        <f t="shared" si="43"/>
        <v>0</v>
      </c>
      <c r="AG449" s="123">
        <f t="shared" si="43"/>
        <v>0</v>
      </c>
      <c r="AH449" s="122">
        <f t="shared" si="39"/>
        <v>0</v>
      </c>
    </row>
    <row r="450" spans="1:34" ht="15.75">
      <c r="A450" s="125">
        <v>191</v>
      </c>
      <c r="B450" s="286">
        <f>IFERROR(VLOOKUP(A450,Cargas!$B$3:$I$93,9,FALSE),0)</f>
        <v>0</v>
      </c>
      <c r="C450" s="127" t="s">
        <v>190</v>
      </c>
      <c r="D450" s="271">
        <f t="shared" si="42"/>
        <v>0</v>
      </c>
      <c r="E450" s="268">
        <f t="shared" si="41"/>
        <v>0</v>
      </c>
      <c r="F450" s="266"/>
      <c r="G450" s="266"/>
      <c r="H450" s="266">
        <f>IFERROR( VLOOKUP(A450,Descargas!$B$3:$I$94,3,FALSE),0)</f>
        <v>0</v>
      </c>
      <c r="I450" s="266">
        <f>IFERROR( VLOOKUP(A450,Descargas!$B$3:$I$94,4,FALSE),0)</f>
        <v>0</v>
      </c>
      <c r="J450" s="266">
        <f>IFERROR( VLOOKUP(A450,Descargas!$B$3:$I$94,5,FALSE),0)</f>
        <v>0</v>
      </c>
      <c r="K450" s="266">
        <f>IFERROR( VLOOKUP(A450,Descargas!$B$3:$I$94,6,FALSE),0)</f>
        <v>0</v>
      </c>
      <c r="L450" s="266">
        <f>IFERROR( VLOOKUP(A450,Descargas!$B$3:$I$94,7,FALSE),0)</f>
        <v>0</v>
      </c>
      <c r="AB450" s="123">
        <f t="shared" si="44"/>
        <v>0</v>
      </c>
      <c r="AC450" s="123">
        <f t="shared" si="44"/>
        <v>0</v>
      </c>
      <c r="AD450" s="123">
        <f t="shared" si="44"/>
        <v>0</v>
      </c>
      <c r="AE450" s="123">
        <f t="shared" si="43"/>
        <v>0</v>
      </c>
      <c r="AF450" s="123">
        <f t="shared" si="43"/>
        <v>0</v>
      </c>
      <c r="AG450" s="123">
        <f t="shared" si="43"/>
        <v>0</v>
      </c>
      <c r="AH450" s="122">
        <f t="shared" si="39"/>
        <v>0</v>
      </c>
    </row>
    <row r="451" spans="1:34" s="86" customFormat="1" ht="15.75">
      <c r="A451" s="125">
        <v>192</v>
      </c>
      <c r="B451" s="286">
        <f>IFERROR(VLOOKUP(A451,Cargas!$B$3:$I$93,9,FALSE),0)</f>
        <v>0</v>
      </c>
      <c r="C451" s="127" t="s">
        <v>124</v>
      </c>
      <c r="D451" s="271">
        <f t="shared" si="42"/>
        <v>0</v>
      </c>
      <c r="E451" s="268">
        <f>+SUM(H451:L451)</f>
        <v>0</v>
      </c>
      <c r="F451" s="266"/>
      <c r="G451" s="266"/>
      <c r="H451" s="266">
        <f>IFERROR( VLOOKUP(A451,Descargas!$B$3:$I$94,3,FALSE),0)</f>
        <v>0</v>
      </c>
      <c r="I451" s="266">
        <f>IFERROR( VLOOKUP(A451,Descargas!$B$3:$I$94,4,FALSE),0)</f>
        <v>0</v>
      </c>
      <c r="J451" s="266">
        <f>IFERROR( VLOOKUP(A451,Descargas!$B$3:$I$94,5,FALSE),0)</f>
        <v>0</v>
      </c>
      <c r="K451" s="266">
        <f>IFERROR( VLOOKUP(A451,Descargas!$B$3:$I$94,6,FALSE),0)</f>
        <v>0</v>
      </c>
      <c r="L451" s="266">
        <f>IFERROR( VLOOKUP(A451,Descargas!$B$3:$I$94,7,FALSE),0)</f>
        <v>0</v>
      </c>
      <c r="AB451" s="123">
        <f t="shared" si="44"/>
        <v>0</v>
      </c>
      <c r="AC451" s="123">
        <f t="shared" si="44"/>
        <v>0</v>
      </c>
      <c r="AD451" s="123">
        <f t="shared" si="44"/>
        <v>0</v>
      </c>
      <c r="AE451" s="123">
        <f t="shared" si="43"/>
        <v>0</v>
      </c>
      <c r="AF451" s="123">
        <f t="shared" si="43"/>
        <v>0</v>
      </c>
      <c r="AG451" s="123">
        <f t="shared" si="43"/>
        <v>0</v>
      </c>
      <c r="AH451" s="122">
        <f t="shared" si="39"/>
        <v>0</v>
      </c>
    </row>
    <row r="452" spans="1:34" s="86" customFormat="1" ht="15.75">
      <c r="A452" s="125">
        <v>193</v>
      </c>
      <c r="B452" s="286">
        <f>IFERROR(VLOOKUP(A452,Cargas!$B$3:$I$93,9,FALSE),0)</f>
        <v>0</v>
      </c>
      <c r="C452" s="127" t="s">
        <v>191</v>
      </c>
      <c r="D452" s="271">
        <f t="shared" si="42"/>
        <v>0</v>
      </c>
      <c r="E452" s="268">
        <f t="shared" si="41"/>
        <v>0</v>
      </c>
      <c r="F452" s="266"/>
      <c r="G452" s="266"/>
      <c r="H452" s="266">
        <f>IFERROR( VLOOKUP(A452,Descargas!$B$3:$I$94,3,FALSE),0)</f>
        <v>0</v>
      </c>
      <c r="I452" s="266">
        <f>IFERROR( VLOOKUP(A452,Descargas!$B$3:$I$94,4,FALSE),0)</f>
        <v>0</v>
      </c>
      <c r="J452" s="266">
        <f>IFERROR( VLOOKUP(A452,Descargas!$B$3:$I$94,5,FALSE),0)</f>
        <v>0</v>
      </c>
      <c r="K452" s="266">
        <f>IFERROR( VLOOKUP(A452,Descargas!$B$3:$I$94,6,FALSE),0)</f>
        <v>0</v>
      </c>
      <c r="L452" s="266">
        <f>IFERROR( VLOOKUP(A452,Descargas!$B$3:$I$94,7,FALSE),0)</f>
        <v>0</v>
      </c>
      <c r="AB452" s="123">
        <f t="shared" si="44"/>
        <v>0</v>
      </c>
      <c r="AC452" s="123">
        <f t="shared" si="44"/>
        <v>0</v>
      </c>
      <c r="AD452" s="123">
        <f t="shared" si="44"/>
        <v>0</v>
      </c>
      <c r="AE452" s="123">
        <f t="shared" si="43"/>
        <v>0</v>
      </c>
      <c r="AF452" s="123">
        <f t="shared" si="43"/>
        <v>0</v>
      </c>
      <c r="AG452" s="123">
        <f t="shared" si="43"/>
        <v>0</v>
      </c>
      <c r="AH452" s="122">
        <f t="shared" si="39"/>
        <v>0</v>
      </c>
    </row>
    <row r="453" spans="1:34" ht="15.75">
      <c r="A453" s="125">
        <v>195</v>
      </c>
      <c r="B453" s="286">
        <f>IFERROR(VLOOKUP(A453,Cargas!$B$3:$I$93,9,FALSE),0)</f>
        <v>0</v>
      </c>
      <c r="C453" s="127" t="s">
        <v>125</v>
      </c>
      <c r="D453" s="271">
        <f t="shared" si="42"/>
        <v>0</v>
      </c>
      <c r="E453" s="268">
        <f t="shared" si="41"/>
        <v>0</v>
      </c>
      <c r="F453" s="266"/>
      <c r="G453" s="266"/>
      <c r="H453" s="266">
        <f>IFERROR( VLOOKUP(A453,Descargas!$B$3:$I$94,3,FALSE),0)</f>
        <v>0</v>
      </c>
      <c r="I453" s="266">
        <f>IFERROR( VLOOKUP(A453,Descargas!$B$3:$I$94,4,FALSE),0)</f>
        <v>0</v>
      </c>
      <c r="J453" s="266">
        <f>IFERROR( VLOOKUP(A453,Descargas!$B$3:$I$94,5,FALSE),0)</f>
        <v>0</v>
      </c>
      <c r="K453" s="266">
        <f>IFERROR( VLOOKUP(A453,Descargas!$B$3:$I$94,6,FALSE),0)</f>
        <v>0</v>
      </c>
      <c r="L453" s="266">
        <f>IFERROR( VLOOKUP(A453,Descargas!$B$3:$I$94,7,FALSE),0)</f>
        <v>0</v>
      </c>
      <c r="AB453" s="123">
        <f t="shared" si="44"/>
        <v>0</v>
      </c>
      <c r="AC453" s="123">
        <f t="shared" si="44"/>
        <v>0</v>
      </c>
      <c r="AD453" s="123">
        <f t="shared" si="44"/>
        <v>0</v>
      </c>
      <c r="AE453" s="123">
        <f t="shared" si="43"/>
        <v>0</v>
      </c>
      <c r="AF453" s="123">
        <f t="shared" si="43"/>
        <v>0</v>
      </c>
      <c r="AG453" s="123">
        <f t="shared" si="43"/>
        <v>0</v>
      </c>
      <c r="AH453" s="122">
        <f t="shared" si="39"/>
        <v>0</v>
      </c>
    </row>
    <row r="454" spans="1:34" s="86" customFormat="1" ht="15.75">
      <c r="A454" s="125">
        <v>196</v>
      </c>
      <c r="B454" s="286">
        <f>IFERROR(VLOOKUP(A454,Cargas!$B$3:$I$93,9,FALSE),0)</f>
        <v>0</v>
      </c>
      <c r="C454" s="127" t="s">
        <v>129</v>
      </c>
      <c r="D454" s="271">
        <f t="shared" si="42"/>
        <v>0</v>
      </c>
      <c r="E454" s="268">
        <f t="shared" si="41"/>
        <v>0</v>
      </c>
      <c r="F454" s="266"/>
      <c r="G454" s="266"/>
      <c r="H454" s="266">
        <f>IFERROR( VLOOKUP(A454,Descargas!$B$3:$I$94,3,FALSE),0)</f>
        <v>0</v>
      </c>
      <c r="I454" s="266">
        <f>IFERROR( VLOOKUP(A454,Descargas!$B$3:$I$94,4,FALSE),0)</f>
        <v>0</v>
      </c>
      <c r="J454" s="266">
        <f>IFERROR( VLOOKUP(A454,Descargas!$B$3:$I$94,5,FALSE),0)</f>
        <v>0</v>
      </c>
      <c r="K454" s="266">
        <f>IFERROR( VLOOKUP(A454,Descargas!$B$3:$I$94,6,FALSE),0)</f>
        <v>0</v>
      </c>
      <c r="L454" s="266">
        <f>IFERROR( VLOOKUP(A454,Descargas!$B$3:$I$94,7,FALSE),0)</f>
        <v>0</v>
      </c>
      <c r="AB454" s="123">
        <f t="shared" si="44"/>
        <v>0</v>
      </c>
      <c r="AC454" s="123">
        <f t="shared" si="44"/>
        <v>0</v>
      </c>
      <c r="AD454" s="123">
        <f t="shared" si="44"/>
        <v>0</v>
      </c>
      <c r="AE454" s="123">
        <f t="shared" si="43"/>
        <v>0</v>
      </c>
      <c r="AF454" s="123">
        <f t="shared" si="43"/>
        <v>0</v>
      </c>
      <c r="AG454" s="123">
        <f t="shared" si="43"/>
        <v>0</v>
      </c>
      <c r="AH454" s="122">
        <f t="shared" si="39"/>
        <v>0</v>
      </c>
    </row>
    <row r="455" spans="1:34" s="86" customFormat="1" ht="15.75">
      <c r="A455" s="125">
        <v>197</v>
      </c>
      <c r="B455" s="286">
        <f>IFERROR(VLOOKUP(A455,Cargas!$B$3:$I$93,9,FALSE),0)</f>
        <v>0</v>
      </c>
      <c r="C455" s="127" t="s">
        <v>128</v>
      </c>
      <c r="D455" s="271">
        <f t="shared" si="42"/>
        <v>0</v>
      </c>
      <c r="E455" s="268">
        <f t="shared" si="41"/>
        <v>0</v>
      </c>
      <c r="F455" s="266"/>
      <c r="G455" s="266"/>
      <c r="H455" s="266">
        <f>IFERROR( VLOOKUP(A455,Descargas!$B$3:$I$94,3,FALSE),0)</f>
        <v>0</v>
      </c>
      <c r="I455" s="266">
        <f>IFERROR( VLOOKUP(A455,Descargas!$B$3:$I$94,4,FALSE),0)</f>
        <v>0</v>
      </c>
      <c r="J455" s="266">
        <f>IFERROR( VLOOKUP(A455,Descargas!$B$3:$I$94,5,FALSE),0)</f>
        <v>0</v>
      </c>
      <c r="K455" s="266">
        <f>IFERROR( VLOOKUP(A455,Descargas!$B$3:$I$94,6,FALSE),0)</f>
        <v>0</v>
      </c>
      <c r="L455" s="266">
        <f>IFERROR( VLOOKUP(A455,Descargas!$B$3:$I$94,7,FALSE),0)</f>
        <v>0</v>
      </c>
      <c r="AB455" s="123">
        <f t="shared" si="44"/>
        <v>0</v>
      </c>
      <c r="AC455" s="123">
        <f t="shared" si="44"/>
        <v>0</v>
      </c>
      <c r="AD455" s="123">
        <f t="shared" si="44"/>
        <v>0</v>
      </c>
      <c r="AE455" s="123">
        <f t="shared" si="43"/>
        <v>0</v>
      </c>
      <c r="AF455" s="123">
        <f t="shared" si="43"/>
        <v>0</v>
      </c>
      <c r="AG455" s="123">
        <f t="shared" si="43"/>
        <v>0</v>
      </c>
      <c r="AH455" s="122">
        <f t="shared" si="39"/>
        <v>0</v>
      </c>
    </row>
    <row r="456" spans="1:34" ht="15.75">
      <c r="A456" s="125">
        <v>198</v>
      </c>
      <c r="B456" s="286">
        <f>IFERROR(VLOOKUP(A456,Cargas!$B$3:$I$93,9,FALSE),0)</f>
        <v>0</v>
      </c>
      <c r="C456" s="127" t="s">
        <v>275</v>
      </c>
      <c r="D456" s="271">
        <f t="shared" si="42"/>
        <v>0</v>
      </c>
      <c r="E456" s="268">
        <f t="shared" si="41"/>
        <v>0</v>
      </c>
      <c r="F456" s="266"/>
      <c r="G456" s="266"/>
      <c r="H456" s="266">
        <f>IFERROR( VLOOKUP(A456,Descargas!$B$3:$I$94,3,FALSE),0)</f>
        <v>0</v>
      </c>
      <c r="I456" s="266">
        <f>IFERROR( VLOOKUP(A456,Descargas!$B$3:$I$94,4,FALSE),0)</f>
        <v>0</v>
      </c>
      <c r="J456" s="266">
        <f>IFERROR( VLOOKUP(A456,Descargas!$B$3:$I$94,5,FALSE),0)</f>
        <v>0</v>
      </c>
      <c r="K456" s="266">
        <f>IFERROR( VLOOKUP(A456,Descargas!$B$3:$I$94,6,FALSE),0)</f>
        <v>0</v>
      </c>
      <c r="L456" s="266">
        <f>IFERROR( VLOOKUP(A456,Descargas!$B$3:$I$94,7,FALSE),0)</f>
        <v>0</v>
      </c>
      <c r="AB456" s="123">
        <f t="shared" si="44"/>
        <v>0</v>
      </c>
      <c r="AC456" s="123">
        <f t="shared" si="44"/>
        <v>0</v>
      </c>
      <c r="AD456" s="123">
        <f t="shared" si="44"/>
        <v>0</v>
      </c>
      <c r="AE456" s="123">
        <f t="shared" si="43"/>
        <v>0</v>
      </c>
      <c r="AF456" s="123">
        <f t="shared" si="43"/>
        <v>0</v>
      </c>
      <c r="AG456" s="123">
        <f t="shared" si="43"/>
        <v>0</v>
      </c>
      <c r="AH456" s="122">
        <f t="shared" si="39"/>
        <v>0</v>
      </c>
    </row>
    <row r="457" spans="1:34" s="86" customFormat="1" ht="15.75">
      <c r="A457" s="125">
        <v>199</v>
      </c>
      <c r="B457" s="286">
        <f>IFERROR(VLOOKUP(A457,Cargas!$B$3:$I$93,9,FALSE),0)</f>
        <v>0</v>
      </c>
      <c r="C457" s="127" t="s">
        <v>130</v>
      </c>
      <c r="D457" s="271">
        <f t="shared" si="42"/>
        <v>0</v>
      </c>
      <c r="E457" s="268">
        <f t="shared" si="41"/>
        <v>0</v>
      </c>
      <c r="F457" s="266"/>
      <c r="G457" s="266"/>
      <c r="H457" s="266">
        <f>IFERROR( VLOOKUP(A457,Descargas!$B$3:$I$94,3,FALSE),0)</f>
        <v>0</v>
      </c>
      <c r="I457" s="266">
        <f>IFERROR( VLOOKUP(A457,Descargas!$B$3:$I$94,4,FALSE),0)</f>
        <v>0</v>
      </c>
      <c r="J457" s="266">
        <f>IFERROR( VLOOKUP(A457,Descargas!$B$3:$I$94,5,FALSE),0)</f>
        <v>0</v>
      </c>
      <c r="K457" s="266">
        <f>IFERROR( VLOOKUP(A457,Descargas!$B$3:$I$94,6,FALSE),0)</f>
        <v>0</v>
      </c>
      <c r="L457" s="266">
        <f>IFERROR( VLOOKUP(A457,Descargas!$B$3:$I$94,7,FALSE),0)</f>
        <v>0</v>
      </c>
      <c r="AB457" s="123">
        <f t="shared" si="44"/>
        <v>0</v>
      </c>
      <c r="AC457" s="123">
        <f t="shared" si="44"/>
        <v>0</v>
      </c>
      <c r="AD457" s="123">
        <f t="shared" si="44"/>
        <v>0</v>
      </c>
      <c r="AE457" s="123">
        <f t="shared" si="43"/>
        <v>0</v>
      </c>
      <c r="AF457" s="123">
        <f t="shared" si="43"/>
        <v>0</v>
      </c>
      <c r="AG457" s="123">
        <f t="shared" si="43"/>
        <v>0</v>
      </c>
      <c r="AH457" s="122">
        <f t="shared" si="39"/>
        <v>0</v>
      </c>
    </row>
    <row r="458" spans="1:34" s="86" customFormat="1" ht="15.75">
      <c r="A458" s="125">
        <v>200</v>
      </c>
      <c r="B458" s="286">
        <f>IFERROR(VLOOKUP(A458,Cargas!$B$3:$I$93,9,FALSE),0)</f>
        <v>0</v>
      </c>
      <c r="C458" s="127" t="s">
        <v>126</v>
      </c>
      <c r="D458" s="271">
        <f t="shared" si="42"/>
        <v>0</v>
      </c>
      <c r="E458" s="268">
        <f t="shared" si="41"/>
        <v>0</v>
      </c>
      <c r="F458" s="266"/>
      <c r="G458" s="266"/>
      <c r="H458" s="266">
        <f>IFERROR( VLOOKUP(A458,Descargas!$B$3:$I$94,3,FALSE),0)</f>
        <v>0</v>
      </c>
      <c r="I458" s="266">
        <f>IFERROR( VLOOKUP(A458,Descargas!$B$3:$I$94,4,FALSE),0)</f>
        <v>0</v>
      </c>
      <c r="J458" s="266">
        <f>IFERROR( VLOOKUP(A458,Descargas!$B$3:$I$94,5,FALSE),0)</f>
        <v>0</v>
      </c>
      <c r="K458" s="266">
        <f>IFERROR( VLOOKUP(A458,Descargas!$B$3:$I$94,6,FALSE),0)</f>
        <v>0</v>
      </c>
      <c r="L458" s="266">
        <f>IFERROR( VLOOKUP(A458,Descargas!$B$3:$I$94,7,FALSE),0)</f>
        <v>0</v>
      </c>
      <c r="AB458" s="123">
        <f t="shared" si="44"/>
        <v>0</v>
      </c>
      <c r="AC458" s="123">
        <f t="shared" si="44"/>
        <v>0</v>
      </c>
      <c r="AD458" s="123">
        <f t="shared" si="44"/>
        <v>0</v>
      </c>
      <c r="AE458" s="123">
        <f t="shared" si="43"/>
        <v>0</v>
      </c>
      <c r="AF458" s="123">
        <f t="shared" si="43"/>
        <v>0</v>
      </c>
      <c r="AG458" s="123">
        <f t="shared" si="43"/>
        <v>0</v>
      </c>
      <c r="AH458" s="122">
        <f t="shared" si="39"/>
        <v>0</v>
      </c>
    </row>
    <row r="459" spans="1:34" ht="15.75">
      <c r="A459" s="125">
        <v>202</v>
      </c>
      <c r="B459" s="286">
        <f>IFERROR(VLOOKUP(A459,Cargas!$B$3:$I$93,9,FALSE),0)</f>
        <v>0</v>
      </c>
      <c r="C459" s="127" t="s">
        <v>127</v>
      </c>
      <c r="D459" s="271">
        <f t="shared" si="42"/>
        <v>0</v>
      </c>
      <c r="E459" s="268">
        <f t="shared" si="41"/>
        <v>0</v>
      </c>
      <c r="F459" s="263"/>
      <c r="G459" s="266"/>
      <c r="H459" s="266">
        <f>IFERROR( VLOOKUP(A459,Descargas!$B$3:$I$94,3,FALSE),0)</f>
        <v>0</v>
      </c>
      <c r="I459" s="266">
        <f>IFERROR( VLOOKUP(A459,Descargas!$B$3:$I$94,4,FALSE),0)</f>
        <v>0</v>
      </c>
      <c r="J459" s="266">
        <f>IFERROR( VLOOKUP(A459,Descargas!$B$3:$I$94,5,FALSE),0)</f>
        <v>0</v>
      </c>
      <c r="K459" s="266">
        <f>IFERROR( VLOOKUP(A459,Descargas!$B$3:$I$94,6,FALSE),0)</f>
        <v>0</v>
      </c>
      <c r="L459" s="266">
        <f>IFERROR( VLOOKUP(A459,Descargas!$B$3:$I$94,7,FALSE),0)</f>
        <v>0</v>
      </c>
      <c r="AB459" s="123">
        <f t="shared" si="44"/>
        <v>0</v>
      </c>
      <c r="AC459" s="123">
        <f t="shared" si="44"/>
        <v>0</v>
      </c>
      <c r="AD459" s="123">
        <f t="shared" si="44"/>
        <v>0</v>
      </c>
      <c r="AE459" s="123">
        <f t="shared" si="43"/>
        <v>0</v>
      </c>
      <c r="AF459" s="123">
        <f t="shared" si="43"/>
        <v>0</v>
      </c>
      <c r="AG459" s="123">
        <f t="shared" si="43"/>
        <v>0</v>
      </c>
      <c r="AH459" s="122">
        <f t="shared" si="39"/>
        <v>0</v>
      </c>
    </row>
    <row r="460" spans="1:34" s="86" customFormat="1" ht="15.75">
      <c r="A460" s="125">
        <v>203</v>
      </c>
      <c r="B460" s="286">
        <f>IFERROR(VLOOKUP(A460,Cargas!$B$3:$I$93,9,FALSE),0)</f>
        <v>0</v>
      </c>
      <c r="C460" s="127" t="s">
        <v>131</v>
      </c>
      <c r="D460" s="271">
        <f t="shared" si="42"/>
        <v>0</v>
      </c>
      <c r="E460" s="268">
        <f t="shared" si="41"/>
        <v>0</v>
      </c>
      <c r="F460" s="266"/>
      <c r="G460" s="266"/>
      <c r="H460" s="266">
        <f>IFERROR( VLOOKUP(A460,Descargas!$B$3:$I$94,3,FALSE),0)</f>
        <v>0</v>
      </c>
      <c r="I460" s="266">
        <f>IFERROR( VLOOKUP(A460,Descargas!$B$3:$I$94,4,FALSE),0)</f>
        <v>0</v>
      </c>
      <c r="J460" s="266">
        <f>IFERROR( VLOOKUP(A460,Descargas!$B$3:$I$94,5,FALSE),0)</f>
        <v>0</v>
      </c>
      <c r="K460" s="266">
        <f>IFERROR( VLOOKUP(A460,Descargas!$B$3:$I$94,6,FALSE),0)</f>
        <v>0</v>
      </c>
      <c r="L460" s="266">
        <f>IFERROR( VLOOKUP(A460,Descargas!$B$3:$I$94,7,FALSE),0)</f>
        <v>0</v>
      </c>
      <c r="AB460" s="123">
        <f t="shared" si="44"/>
        <v>0</v>
      </c>
      <c r="AC460" s="123">
        <f t="shared" si="44"/>
        <v>0</v>
      </c>
      <c r="AD460" s="123">
        <f t="shared" si="44"/>
        <v>0</v>
      </c>
      <c r="AE460" s="123">
        <f t="shared" si="43"/>
        <v>0</v>
      </c>
      <c r="AF460" s="123">
        <f t="shared" si="43"/>
        <v>0</v>
      </c>
      <c r="AG460" s="123">
        <f t="shared" si="43"/>
        <v>0</v>
      </c>
      <c r="AH460" s="122">
        <f t="shared" si="39"/>
        <v>0</v>
      </c>
    </row>
    <row r="461" spans="1:34" s="86" customFormat="1" ht="15.75">
      <c r="A461" s="125">
        <v>204</v>
      </c>
      <c r="B461" s="286">
        <f>IFERROR(VLOOKUP(A461,Cargas!$B$3:$I$93,9,FALSE),0)</f>
        <v>0</v>
      </c>
      <c r="C461" s="127" t="s">
        <v>132</v>
      </c>
      <c r="D461" s="271">
        <f t="shared" si="42"/>
        <v>0</v>
      </c>
      <c r="E461" s="268">
        <f t="shared" si="41"/>
        <v>0</v>
      </c>
      <c r="F461" s="266"/>
      <c r="G461" s="266"/>
      <c r="H461" s="266">
        <f>IFERROR( VLOOKUP(A461,Descargas!$B$3:$I$94,3,FALSE),0)</f>
        <v>0</v>
      </c>
      <c r="I461" s="266">
        <f>IFERROR( VLOOKUP(A461,Descargas!$B$3:$I$94,4,FALSE),0)</f>
        <v>0</v>
      </c>
      <c r="J461" s="266">
        <f>IFERROR( VLOOKUP(A461,Descargas!$B$3:$I$94,5,FALSE),0)</f>
        <v>0</v>
      </c>
      <c r="K461" s="266">
        <f>IFERROR( VLOOKUP(A461,Descargas!$B$3:$I$94,6,FALSE),0)</f>
        <v>0</v>
      </c>
      <c r="L461" s="266">
        <f>IFERROR( VLOOKUP(A461,Descargas!$B$3:$I$94,7,FALSE),0)</f>
        <v>0</v>
      </c>
      <c r="AB461" s="123">
        <f t="shared" si="44"/>
        <v>0</v>
      </c>
      <c r="AC461" s="123">
        <f t="shared" si="44"/>
        <v>0</v>
      </c>
      <c r="AD461" s="123">
        <f t="shared" si="44"/>
        <v>0</v>
      </c>
      <c r="AE461" s="123">
        <f t="shared" si="43"/>
        <v>0</v>
      </c>
      <c r="AF461" s="123">
        <f t="shared" si="43"/>
        <v>0</v>
      </c>
      <c r="AG461" s="123">
        <f t="shared" si="43"/>
        <v>0</v>
      </c>
      <c r="AH461" s="122">
        <f t="shared" si="39"/>
        <v>0</v>
      </c>
    </row>
    <row r="462" spans="1:34" ht="15.75">
      <c r="A462" s="125">
        <v>205</v>
      </c>
      <c r="B462" s="286">
        <f>IFERROR(VLOOKUP(A462,Cargas!$B$3:$I$93,9,FALSE),0)</f>
        <v>0</v>
      </c>
      <c r="C462" s="127" t="s">
        <v>137</v>
      </c>
      <c r="D462" s="271">
        <f t="shared" si="42"/>
        <v>0</v>
      </c>
      <c r="E462" s="268">
        <f>+SUM(H462:L462)</f>
        <v>0</v>
      </c>
      <c r="F462" s="266"/>
      <c r="G462" s="266"/>
      <c r="H462" s="266">
        <f>IFERROR( VLOOKUP(A462,Descargas!$B$3:$I$94,3,FALSE),0)</f>
        <v>0</v>
      </c>
      <c r="I462" s="266">
        <f>IFERROR( VLOOKUP(A462,Descargas!$B$3:$I$94,4,FALSE),0)</f>
        <v>0</v>
      </c>
      <c r="J462" s="266">
        <f>IFERROR( VLOOKUP(A462,Descargas!$B$3:$I$94,5,FALSE),0)</f>
        <v>0</v>
      </c>
      <c r="K462" s="266">
        <f>IFERROR( VLOOKUP(A462,Descargas!$B$3:$I$94,6,FALSE),0)</f>
        <v>0</v>
      </c>
      <c r="L462" s="266">
        <f>IFERROR( VLOOKUP(A462,Descargas!$B$3:$I$94,7,FALSE),0)</f>
        <v>0</v>
      </c>
      <c r="AB462" s="123">
        <f t="shared" si="44"/>
        <v>0</v>
      </c>
      <c r="AC462" s="123">
        <f t="shared" si="44"/>
        <v>0</v>
      </c>
      <c r="AD462" s="123">
        <f t="shared" si="44"/>
        <v>0</v>
      </c>
      <c r="AE462" s="123">
        <f t="shared" si="43"/>
        <v>0</v>
      </c>
      <c r="AF462" s="123">
        <f t="shared" si="43"/>
        <v>0</v>
      </c>
      <c r="AG462" s="123">
        <f t="shared" si="43"/>
        <v>0</v>
      </c>
      <c r="AH462" s="122">
        <f t="shared" si="39"/>
        <v>0</v>
      </c>
    </row>
    <row r="463" spans="1:34" s="86" customFormat="1" ht="15.75">
      <c r="A463" s="125">
        <v>206</v>
      </c>
      <c r="B463" s="286">
        <f>IFERROR(VLOOKUP(A463,Cargas!$B$3:$I$93,9,FALSE),0)</f>
        <v>0</v>
      </c>
      <c r="C463" s="127" t="s">
        <v>138</v>
      </c>
      <c r="D463" s="271">
        <f t="shared" si="42"/>
        <v>0</v>
      </c>
      <c r="E463" s="268">
        <f>+SUM(H463:L463)</f>
        <v>0</v>
      </c>
      <c r="F463" s="266"/>
      <c r="G463" s="266"/>
      <c r="H463" s="266">
        <f>IFERROR( VLOOKUP(A463,Descargas!$B$3:$I$94,3,FALSE),0)</f>
        <v>0</v>
      </c>
      <c r="I463" s="266">
        <f>IFERROR( VLOOKUP(A463,Descargas!$B$3:$I$94,4,FALSE),0)</f>
        <v>0</v>
      </c>
      <c r="J463" s="266">
        <f>IFERROR( VLOOKUP(A463,Descargas!$B$3:$I$94,5,FALSE),0)</f>
        <v>0</v>
      </c>
      <c r="K463" s="266">
        <f>IFERROR( VLOOKUP(A463,Descargas!$B$3:$I$94,6,FALSE),0)</f>
        <v>0</v>
      </c>
      <c r="L463" s="266">
        <f>IFERROR( VLOOKUP(A463,Descargas!$B$3:$I$94,7,FALSE),0)</f>
        <v>0</v>
      </c>
      <c r="AB463" s="123">
        <f t="shared" si="44"/>
        <v>0</v>
      </c>
      <c r="AC463" s="123">
        <f t="shared" si="44"/>
        <v>0</v>
      </c>
      <c r="AD463" s="123">
        <f t="shared" si="44"/>
        <v>0</v>
      </c>
      <c r="AE463" s="123">
        <f t="shared" si="43"/>
        <v>0</v>
      </c>
      <c r="AF463" s="123">
        <f t="shared" si="43"/>
        <v>0</v>
      </c>
      <c r="AG463" s="123">
        <f t="shared" si="43"/>
        <v>0</v>
      </c>
      <c r="AH463" s="122">
        <f t="shared" ref="AH463:AH526" si="45">+SUM(AB463:AG463)</f>
        <v>0</v>
      </c>
    </row>
    <row r="464" spans="1:34" s="86" customFormat="1" ht="15.75">
      <c r="A464" s="125">
        <v>207</v>
      </c>
      <c r="B464" s="286">
        <f>IFERROR(VLOOKUP(A464,Cargas!$B$3:$I$93,9,FALSE),0)</f>
        <v>0</v>
      </c>
      <c r="C464" s="127" t="s">
        <v>139</v>
      </c>
      <c r="D464" s="271">
        <f t="shared" si="42"/>
        <v>0</v>
      </c>
      <c r="E464" s="268">
        <f>+SUM(H464:L464)</f>
        <v>0</v>
      </c>
      <c r="F464" s="266"/>
      <c r="G464" s="266"/>
      <c r="H464" s="266">
        <f>IFERROR( VLOOKUP(A464,Descargas!$B$3:$I$94,3,FALSE),0)</f>
        <v>0</v>
      </c>
      <c r="I464" s="266">
        <f>IFERROR( VLOOKUP(A464,Descargas!$B$3:$I$94,4,FALSE),0)</f>
        <v>0</v>
      </c>
      <c r="J464" s="266">
        <f>IFERROR( VLOOKUP(A464,Descargas!$B$3:$I$94,5,FALSE),0)</f>
        <v>0</v>
      </c>
      <c r="K464" s="266">
        <f>IFERROR( VLOOKUP(A464,Descargas!$B$3:$I$94,6,FALSE),0)</f>
        <v>0</v>
      </c>
      <c r="L464" s="266">
        <f>IFERROR( VLOOKUP(A464,Descargas!$B$3:$I$94,7,FALSE),0)</f>
        <v>0</v>
      </c>
      <c r="AB464" s="123">
        <f t="shared" si="44"/>
        <v>0</v>
      </c>
      <c r="AC464" s="123">
        <f t="shared" si="44"/>
        <v>0</v>
      </c>
      <c r="AD464" s="123">
        <f t="shared" si="44"/>
        <v>0</v>
      </c>
      <c r="AE464" s="123">
        <f t="shared" si="43"/>
        <v>0</v>
      </c>
      <c r="AF464" s="123">
        <f t="shared" si="43"/>
        <v>0</v>
      </c>
      <c r="AG464" s="123">
        <f t="shared" si="43"/>
        <v>0</v>
      </c>
      <c r="AH464" s="122">
        <f t="shared" si="45"/>
        <v>0</v>
      </c>
    </row>
    <row r="465" spans="1:34" ht="15.75">
      <c r="A465" s="125">
        <v>208</v>
      </c>
      <c r="B465" s="286">
        <f>IFERROR(VLOOKUP(A465,Cargas!$B$3:$I$93,9,FALSE),0)</f>
        <v>0</v>
      </c>
      <c r="C465" s="127" t="s">
        <v>140</v>
      </c>
      <c r="D465" s="271">
        <f t="shared" si="42"/>
        <v>0</v>
      </c>
      <c r="E465" s="268">
        <f>+SUM(H465:L465)</f>
        <v>0</v>
      </c>
      <c r="F465" s="266"/>
      <c r="G465" s="266"/>
      <c r="H465" s="266">
        <f>IFERROR( VLOOKUP(A465,Descargas!$B$3:$I$94,3,FALSE),0)</f>
        <v>0</v>
      </c>
      <c r="I465" s="266">
        <f>IFERROR( VLOOKUP(A465,Descargas!$B$3:$I$94,4,FALSE),0)</f>
        <v>0</v>
      </c>
      <c r="J465" s="266">
        <f>IFERROR( VLOOKUP(A465,Descargas!$B$3:$I$94,5,FALSE),0)</f>
        <v>0</v>
      </c>
      <c r="K465" s="266">
        <f>IFERROR( VLOOKUP(A465,Descargas!$B$3:$I$94,6,FALSE),0)</f>
        <v>0</v>
      </c>
      <c r="L465" s="266">
        <f>IFERROR( VLOOKUP(A465,Descargas!$B$3:$I$94,7,FALSE),0)</f>
        <v>0</v>
      </c>
      <c r="AB465" s="123">
        <f t="shared" si="44"/>
        <v>0</v>
      </c>
      <c r="AC465" s="123">
        <f t="shared" si="44"/>
        <v>0</v>
      </c>
      <c r="AD465" s="123">
        <f t="shared" si="44"/>
        <v>0</v>
      </c>
      <c r="AE465" s="123">
        <f t="shared" si="43"/>
        <v>0</v>
      </c>
      <c r="AF465" s="123">
        <f t="shared" si="43"/>
        <v>0</v>
      </c>
      <c r="AG465" s="123">
        <f t="shared" si="43"/>
        <v>0</v>
      </c>
      <c r="AH465" s="122">
        <f t="shared" si="45"/>
        <v>0</v>
      </c>
    </row>
    <row r="466" spans="1:34" s="86" customFormat="1" ht="15.75">
      <c r="A466" s="125">
        <v>209</v>
      </c>
      <c r="B466" s="286">
        <f>IFERROR(VLOOKUP(A466,Cargas!$B$3:$I$93,9,FALSE),0)</f>
        <v>0</v>
      </c>
      <c r="C466" s="127" t="s">
        <v>141</v>
      </c>
      <c r="D466" s="271">
        <f t="shared" ref="D466:D495" si="46">+SUM(H466:L466)</f>
        <v>0</v>
      </c>
      <c r="E466" s="268">
        <f>+SUM(H466:L466)</f>
        <v>0</v>
      </c>
      <c r="F466" s="266"/>
      <c r="G466" s="266"/>
      <c r="H466" s="266">
        <f>IFERROR( VLOOKUP(A466,Descargas!$B$3:$I$94,3,FALSE),0)</f>
        <v>0</v>
      </c>
      <c r="I466" s="266">
        <f>IFERROR( VLOOKUP(A466,Descargas!$B$3:$I$94,4,FALSE),0)</f>
        <v>0</v>
      </c>
      <c r="J466" s="266">
        <f>IFERROR( VLOOKUP(A466,Descargas!$B$3:$I$94,5,FALSE),0)</f>
        <v>0</v>
      </c>
      <c r="K466" s="266">
        <f>IFERROR( VLOOKUP(A466,Descargas!$B$3:$I$94,6,FALSE),0)</f>
        <v>0</v>
      </c>
      <c r="L466" s="266">
        <f>IFERROR( VLOOKUP(A466,Descargas!$B$3:$I$94,7,FALSE),0)</f>
        <v>0</v>
      </c>
      <c r="AB466" s="123">
        <f t="shared" si="44"/>
        <v>0</v>
      </c>
      <c r="AC466" s="123">
        <f t="shared" si="44"/>
        <v>0</v>
      </c>
      <c r="AD466" s="123">
        <f t="shared" si="44"/>
        <v>0</v>
      </c>
      <c r="AE466" s="123">
        <f t="shared" si="43"/>
        <v>0</v>
      </c>
      <c r="AF466" s="123">
        <f t="shared" si="43"/>
        <v>0</v>
      </c>
      <c r="AG466" s="123">
        <f t="shared" si="43"/>
        <v>0</v>
      </c>
      <c r="AH466" s="122">
        <f t="shared" si="45"/>
        <v>0</v>
      </c>
    </row>
    <row r="467" spans="1:34" s="86" customFormat="1" ht="15.75">
      <c r="A467" s="125">
        <v>210</v>
      </c>
      <c r="B467" s="286">
        <f>IFERROR(VLOOKUP(A467,Cargas!$B$3:$I$93,9,FALSE),0)</f>
        <v>0</v>
      </c>
      <c r="C467" s="127" t="s">
        <v>142</v>
      </c>
      <c r="D467" s="271">
        <f t="shared" si="46"/>
        <v>0</v>
      </c>
      <c r="E467" s="268">
        <f t="shared" ref="E467:E515" si="47">+SUM(H467:L467)</f>
        <v>0</v>
      </c>
      <c r="F467" s="266"/>
      <c r="G467" s="266"/>
      <c r="H467" s="266">
        <f>IFERROR( VLOOKUP(A467,Descargas!$B$3:$I$94,3,FALSE),0)</f>
        <v>0</v>
      </c>
      <c r="I467" s="266">
        <f>IFERROR( VLOOKUP(A467,Descargas!$B$3:$I$94,4,FALSE),0)</f>
        <v>0</v>
      </c>
      <c r="J467" s="266">
        <f>IFERROR( VLOOKUP(A467,Descargas!$B$3:$I$94,5,FALSE),0)</f>
        <v>0</v>
      </c>
      <c r="K467" s="266">
        <f>IFERROR( VLOOKUP(A467,Descargas!$B$3:$I$94,6,FALSE),0)</f>
        <v>0</v>
      </c>
      <c r="L467" s="266">
        <f>IFERROR( VLOOKUP(A467,Descargas!$B$3:$I$94,7,FALSE),0)</f>
        <v>0</v>
      </c>
      <c r="AB467" s="123">
        <f t="shared" si="44"/>
        <v>0</v>
      </c>
      <c r="AC467" s="123">
        <f t="shared" si="44"/>
        <v>0</v>
      </c>
      <c r="AD467" s="123">
        <f t="shared" si="44"/>
        <v>0</v>
      </c>
      <c r="AE467" s="123">
        <f t="shared" si="43"/>
        <v>0</v>
      </c>
      <c r="AF467" s="123">
        <f t="shared" si="43"/>
        <v>0</v>
      </c>
      <c r="AG467" s="123">
        <f t="shared" si="43"/>
        <v>0</v>
      </c>
      <c r="AH467" s="122">
        <f t="shared" si="45"/>
        <v>0</v>
      </c>
    </row>
    <row r="468" spans="1:34" ht="15.75">
      <c r="A468" s="125">
        <v>211</v>
      </c>
      <c r="B468" s="286">
        <f>IFERROR(VLOOKUP(A468,Cargas!$B$3:$I$93,9,FALSE),0)</f>
        <v>0</v>
      </c>
      <c r="C468" s="127" t="s">
        <v>143</v>
      </c>
      <c r="D468" s="271">
        <f t="shared" si="46"/>
        <v>0</v>
      </c>
      <c r="E468" s="268">
        <f t="shared" si="47"/>
        <v>0</v>
      </c>
      <c r="F468" s="263"/>
      <c r="G468" s="266"/>
      <c r="H468" s="266">
        <f>IFERROR( VLOOKUP(A468,Descargas!$B$3:$I$94,3,FALSE),0)</f>
        <v>0</v>
      </c>
      <c r="I468" s="266">
        <f>IFERROR( VLOOKUP(A468,Descargas!$B$3:$I$94,4,FALSE),0)</f>
        <v>0</v>
      </c>
      <c r="J468" s="266">
        <f>IFERROR( VLOOKUP(A468,Descargas!$B$3:$I$94,5,FALSE),0)</f>
        <v>0</v>
      </c>
      <c r="K468" s="266">
        <f>IFERROR( VLOOKUP(A468,Descargas!$B$3:$I$94,6,FALSE),0)</f>
        <v>0</v>
      </c>
      <c r="L468" s="266">
        <f>IFERROR( VLOOKUP(A468,Descargas!$B$3:$I$94,7,FALSE),0)</f>
        <v>0</v>
      </c>
      <c r="AB468" s="123">
        <f t="shared" si="44"/>
        <v>0</v>
      </c>
      <c r="AC468" s="123">
        <f t="shared" si="44"/>
        <v>0</v>
      </c>
      <c r="AD468" s="123">
        <f t="shared" si="44"/>
        <v>0</v>
      </c>
      <c r="AE468" s="123">
        <f t="shared" si="43"/>
        <v>0</v>
      </c>
      <c r="AF468" s="123">
        <f t="shared" si="43"/>
        <v>0</v>
      </c>
      <c r="AG468" s="123">
        <f t="shared" si="43"/>
        <v>0</v>
      </c>
      <c r="AH468" s="122">
        <f t="shared" si="45"/>
        <v>0</v>
      </c>
    </row>
    <row r="469" spans="1:34" s="86" customFormat="1" ht="15.75">
      <c r="A469" s="125">
        <v>212</v>
      </c>
      <c r="B469" s="286">
        <f>IFERROR(VLOOKUP(A469,Cargas!$B$3:$I$93,9,FALSE),0)</f>
        <v>0</v>
      </c>
      <c r="C469" s="127" t="s">
        <v>144</v>
      </c>
      <c r="D469" s="271">
        <f t="shared" si="46"/>
        <v>0</v>
      </c>
      <c r="E469" s="268">
        <f>+SUM(H469:L469)</f>
        <v>0</v>
      </c>
      <c r="F469" s="266"/>
      <c r="G469" s="266"/>
      <c r="H469" s="266">
        <f>IFERROR( VLOOKUP(A469,Descargas!$B$3:$I$94,3,FALSE),0)</f>
        <v>0</v>
      </c>
      <c r="I469" s="266">
        <f>IFERROR( VLOOKUP(A469,Descargas!$B$3:$I$94,4,FALSE),0)</f>
        <v>0</v>
      </c>
      <c r="J469" s="266">
        <f>IFERROR( VLOOKUP(A469,Descargas!$B$3:$I$94,5,FALSE),0)</f>
        <v>0</v>
      </c>
      <c r="K469" s="266">
        <f>IFERROR( VLOOKUP(A469,Descargas!$B$3:$I$94,6,FALSE),0)</f>
        <v>0</v>
      </c>
      <c r="L469" s="266">
        <f>IFERROR( VLOOKUP(A469,Descargas!$B$3:$I$94,7,FALSE),0)</f>
        <v>0</v>
      </c>
      <c r="AB469" s="123">
        <f t="shared" si="44"/>
        <v>0</v>
      </c>
      <c r="AC469" s="123">
        <f t="shared" si="44"/>
        <v>0</v>
      </c>
      <c r="AD469" s="123">
        <f t="shared" si="44"/>
        <v>0</v>
      </c>
      <c r="AE469" s="123">
        <f t="shared" si="43"/>
        <v>0</v>
      </c>
      <c r="AF469" s="123">
        <f t="shared" si="43"/>
        <v>0</v>
      </c>
      <c r="AG469" s="123">
        <f t="shared" si="43"/>
        <v>0</v>
      </c>
      <c r="AH469" s="122">
        <f t="shared" si="45"/>
        <v>0</v>
      </c>
    </row>
    <row r="470" spans="1:34" s="86" customFormat="1" ht="15.75">
      <c r="A470" s="125">
        <v>213</v>
      </c>
      <c r="B470" s="286">
        <f>IFERROR(VLOOKUP(A470,Cargas!$B$3:$I$93,9,FALSE),0)</f>
        <v>0</v>
      </c>
      <c r="C470" s="127" t="s">
        <v>145</v>
      </c>
      <c r="D470" s="271">
        <f t="shared" si="46"/>
        <v>0</v>
      </c>
      <c r="E470" s="268">
        <f t="shared" si="47"/>
        <v>0</v>
      </c>
      <c r="F470" s="266"/>
      <c r="G470" s="266"/>
      <c r="H470" s="266">
        <f>IFERROR( VLOOKUP(A470,Descargas!$B$3:$I$94,3,FALSE),0)</f>
        <v>0</v>
      </c>
      <c r="I470" s="266">
        <f>IFERROR( VLOOKUP(A470,Descargas!$B$3:$I$94,4,FALSE),0)</f>
        <v>0</v>
      </c>
      <c r="J470" s="266">
        <f>IFERROR( VLOOKUP(A470,Descargas!$B$3:$I$94,5,FALSE),0)</f>
        <v>0</v>
      </c>
      <c r="K470" s="266">
        <f>IFERROR( VLOOKUP(A470,Descargas!$B$3:$I$94,6,FALSE),0)</f>
        <v>0</v>
      </c>
      <c r="L470" s="266">
        <f>IFERROR( VLOOKUP(A470,Descargas!$B$3:$I$94,7,FALSE),0)</f>
        <v>0</v>
      </c>
      <c r="AB470" s="123">
        <f t="shared" si="44"/>
        <v>0</v>
      </c>
      <c r="AC470" s="123">
        <f t="shared" si="44"/>
        <v>0</v>
      </c>
      <c r="AD470" s="123">
        <f t="shared" si="44"/>
        <v>0</v>
      </c>
      <c r="AE470" s="123">
        <f t="shared" si="43"/>
        <v>0</v>
      </c>
      <c r="AF470" s="123">
        <f t="shared" si="43"/>
        <v>0</v>
      </c>
      <c r="AG470" s="123">
        <f t="shared" si="43"/>
        <v>0</v>
      </c>
      <c r="AH470" s="122">
        <f t="shared" si="45"/>
        <v>0</v>
      </c>
    </row>
    <row r="471" spans="1:34" ht="15.75">
      <c r="A471" s="125">
        <v>214</v>
      </c>
      <c r="B471" s="286">
        <f>IFERROR(VLOOKUP(A471,Cargas!$B$3:$I$93,9,FALSE),0)</f>
        <v>0</v>
      </c>
      <c r="C471" s="127" t="s">
        <v>146</v>
      </c>
      <c r="D471" s="271">
        <f t="shared" si="46"/>
        <v>0</v>
      </c>
      <c r="E471" s="268">
        <f t="shared" si="47"/>
        <v>0</v>
      </c>
      <c r="F471" s="266"/>
      <c r="G471" s="266"/>
      <c r="H471" s="266">
        <f>IFERROR( VLOOKUP(A471,Descargas!$B$3:$I$94,3,FALSE),0)</f>
        <v>0</v>
      </c>
      <c r="I471" s="266">
        <f>IFERROR( VLOOKUP(A471,Descargas!$B$3:$I$94,4,FALSE),0)</f>
        <v>0</v>
      </c>
      <c r="J471" s="266">
        <f>IFERROR( VLOOKUP(A471,Descargas!$B$3:$I$94,5,FALSE),0)</f>
        <v>0</v>
      </c>
      <c r="K471" s="266">
        <f>IFERROR( VLOOKUP(A471,Descargas!$B$3:$I$94,6,FALSE),0)</f>
        <v>0</v>
      </c>
      <c r="L471" s="266">
        <f>IFERROR( VLOOKUP(A471,Descargas!$B$3:$I$94,7,FALSE),0)</f>
        <v>0</v>
      </c>
      <c r="AB471" s="123">
        <f t="shared" si="44"/>
        <v>0</v>
      </c>
      <c r="AC471" s="123">
        <f t="shared" si="44"/>
        <v>0</v>
      </c>
      <c r="AD471" s="123">
        <f t="shared" si="44"/>
        <v>0</v>
      </c>
      <c r="AE471" s="123">
        <f t="shared" si="43"/>
        <v>0</v>
      </c>
      <c r="AF471" s="123">
        <f t="shared" si="43"/>
        <v>0</v>
      </c>
      <c r="AG471" s="123">
        <f t="shared" si="43"/>
        <v>0</v>
      </c>
      <c r="AH471" s="122">
        <f t="shared" si="45"/>
        <v>0</v>
      </c>
    </row>
    <row r="472" spans="1:34" s="86" customFormat="1" ht="15.75">
      <c r="A472" s="125">
        <v>215</v>
      </c>
      <c r="B472" s="286">
        <f>IFERROR(VLOOKUP(A472,Cargas!$B$3:$I$93,9,FALSE),0)</f>
        <v>0</v>
      </c>
      <c r="C472" s="127" t="s">
        <v>147</v>
      </c>
      <c r="D472" s="271">
        <f t="shared" si="46"/>
        <v>0</v>
      </c>
      <c r="E472" s="268">
        <f>+SUM(H472:L472)</f>
        <v>0</v>
      </c>
      <c r="F472" s="266"/>
      <c r="G472" s="266"/>
      <c r="H472" s="266">
        <f>IFERROR( VLOOKUP(A472,Descargas!$B$3:$I$94,3,FALSE),0)</f>
        <v>0</v>
      </c>
      <c r="I472" s="266">
        <f>IFERROR( VLOOKUP(A472,Descargas!$B$3:$I$94,4,FALSE),0)</f>
        <v>0</v>
      </c>
      <c r="J472" s="266">
        <f>IFERROR( VLOOKUP(A472,Descargas!$B$3:$I$94,5,FALSE),0)</f>
        <v>0</v>
      </c>
      <c r="K472" s="266">
        <f>IFERROR( VLOOKUP(A472,Descargas!$B$3:$I$94,6,FALSE),0)</f>
        <v>0</v>
      </c>
      <c r="L472" s="266">
        <f>IFERROR( VLOOKUP(A472,Descargas!$B$3:$I$94,7,FALSE),0)</f>
        <v>0</v>
      </c>
      <c r="AB472" s="123">
        <f t="shared" si="44"/>
        <v>0</v>
      </c>
      <c r="AC472" s="123">
        <f t="shared" si="44"/>
        <v>0</v>
      </c>
      <c r="AD472" s="123">
        <f t="shared" si="44"/>
        <v>0</v>
      </c>
      <c r="AE472" s="123">
        <f t="shared" si="43"/>
        <v>0</v>
      </c>
      <c r="AF472" s="123">
        <f t="shared" si="43"/>
        <v>0</v>
      </c>
      <c r="AG472" s="123">
        <f t="shared" si="43"/>
        <v>0</v>
      </c>
      <c r="AH472" s="122">
        <f t="shared" si="45"/>
        <v>0</v>
      </c>
    </row>
    <row r="473" spans="1:34" s="86" customFormat="1" ht="15.75">
      <c r="A473" s="125">
        <v>216</v>
      </c>
      <c r="B473" s="286">
        <f>IFERROR(VLOOKUP(A473,Cargas!$B$3:$I$93,9,FALSE),0)</f>
        <v>0</v>
      </c>
      <c r="C473" s="127" t="s">
        <v>148</v>
      </c>
      <c r="D473" s="271">
        <f t="shared" si="46"/>
        <v>0</v>
      </c>
      <c r="E473" s="268">
        <f t="shared" si="47"/>
        <v>0</v>
      </c>
      <c r="F473" s="266"/>
      <c r="G473" s="266"/>
      <c r="H473" s="266">
        <f>IFERROR( VLOOKUP(A473,Descargas!$B$3:$I$94,3,FALSE),0)</f>
        <v>0</v>
      </c>
      <c r="I473" s="266">
        <f>IFERROR( VLOOKUP(A473,Descargas!$B$3:$I$94,4,FALSE),0)</f>
        <v>0</v>
      </c>
      <c r="J473" s="266">
        <f>IFERROR( VLOOKUP(A473,Descargas!$B$3:$I$94,5,FALSE),0)</f>
        <v>0</v>
      </c>
      <c r="K473" s="266">
        <f>IFERROR( VLOOKUP(A473,Descargas!$B$3:$I$94,6,FALSE),0)</f>
        <v>0</v>
      </c>
      <c r="L473" s="266">
        <f>IFERROR( VLOOKUP(A473,Descargas!$B$3:$I$94,7,FALSE),0)</f>
        <v>0</v>
      </c>
      <c r="AB473" s="123">
        <f t="shared" si="44"/>
        <v>0</v>
      </c>
      <c r="AC473" s="123">
        <f t="shared" si="44"/>
        <v>0</v>
      </c>
      <c r="AD473" s="123">
        <f t="shared" si="44"/>
        <v>0</v>
      </c>
      <c r="AE473" s="123">
        <f t="shared" si="43"/>
        <v>0</v>
      </c>
      <c r="AF473" s="123">
        <f t="shared" si="43"/>
        <v>0</v>
      </c>
      <c r="AG473" s="123">
        <f t="shared" si="43"/>
        <v>0</v>
      </c>
      <c r="AH473" s="122">
        <f t="shared" si="45"/>
        <v>0</v>
      </c>
    </row>
    <row r="474" spans="1:34" ht="15.75">
      <c r="A474" s="125">
        <v>217</v>
      </c>
      <c r="B474" s="286">
        <f>IFERROR(VLOOKUP(A474,Cargas!$B$3:$I$93,9,FALSE),0)</f>
        <v>0</v>
      </c>
      <c r="C474" s="127" t="s">
        <v>262</v>
      </c>
      <c r="D474" s="271">
        <f t="shared" si="46"/>
        <v>0</v>
      </c>
      <c r="E474" s="268">
        <f t="shared" si="47"/>
        <v>0</v>
      </c>
      <c r="F474" s="266"/>
      <c r="G474" s="266"/>
      <c r="H474" s="266">
        <f>IFERROR( VLOOKUP(A474,Descargas!$B$3:$I$94,3,FALSE),0)</f>
        <v>0</v>
      </c>
      <c r="I474" s="266">
        <f>IFERROR( VLOOKUP(A474,Descargas!$B$3:$I$94,4,FALSE),0)</f>
        <v>0</v>
      </c>
      <c r="J474" s="266">
        <f>IFERROR( VLOOKUP(A474,Descargas!$B$3:$I$94,5,FALSE),0)</f>
        <v>0</v>
      </c>
      <c r="K474" s="266">
        <f>IFERROR( VLOOKUP(A474,Descargas!$B$3:$I$94,6,FALSE),0)</f>
        <v>0</v>
      </c>
      <c r="L474" s="266">
        <f>IFERROR( VLOOKUP(A474,Descargas!$B$3:$I$94,7,FALSE),0)</f>
        <v>0</v>
      </c>
      <c r="AB474" s="123">
        <f t="shared" si="44"/>
        <v>0</v>
      </c>
      <c r="AC474" s="123">
        <f t="shared" si="44"/>
        <v>0</v>
      </c>
      <c r="AD474" s="123">
        <f t="shared" si="44"/>
        <v>0</v>
      </c>
      <c r="AE474" s="123">
        <f t="shared" si="43"/>
        <v>0</v>
      </c>
      <c r="AF474" s="123">
        <f t="shared" si="43"/>
        <v>0</v>
      </c>
      <c r="AG474" s="123">
        <f t="shared" si="43"/>
        <v>0</v>
      </c>
      <c r="AH474" s="122">
        <f t="shared" si="45"/>
        <v>0</v>
      </c>
    </row>
    <row r="475" spans="1:34" s="86" customFormat="1" ht="15.75">
      <c r="A475" s="125">
        <v>218</v>
      </c>
      <c r="B475" s="286">
        <f>IFERROR(VLOOKUP(A475,Cargas!$B$3:$I$93,9,FALSE),0)</f>
        <v>0</v>
      </c>
      <c r="C475" s="127" t="s">
        <v>237</v>
      </c>
      <c r="D475" s="271">
        <f t="shared" si="46"/>
        <v>0</v>
      </c>
      <c r="E475" s="268">
        <f>+SUM(H475:L475)</f>
        <v>0</v>
      </c>
      <c r="F475" s="266"/>
      <c r="G475" s="266"/>
      <c r="H475" s="266">
        <f>IFERROR( VLOOKUP(A475,Descargas!$B$3:$I$94,3,FALSE),0)</f>
        <v>0</v>
      </c>
      <c r="I475" s="266">
        <f>IFERROR( VLOOKUP(A475,Descargas!$B$3:$I$94,4,FALSE),0)</f>
        <v>0</v>
      </c>
      <c r="J475" s="266">
        <f>IFERROR( VLOOKUP(A475,Descargas!$B$3:$I$94,5,FALSE),0)</f>
        <v>0</v>
      </c>
      <c r="K475" s="266">
        <f>IFERROR( VLOOKUP(A475,Descargas!$B$3:$I$94,6,FALSE),0)</f>
        <v>0</v>
      </c>
      <c r="L475" s="266">
        <f>IFERROR( VLOOKUP(A475,Descargas!$B$3:$I$94,7,FALSE),0)</f>
        <v>0</v>
      </c>
      <c r="AB475" s="123">
        <f t="shared" si="44"/>
        <v>0</v>
      </c>
      <c r="AC475" s="123">
        <f t="shared" si="44"/>
        <v>0</v>
      </c>
      <c r="AD475" s="123">
        <f t="shared" si="44"/>
        <v>0</v>
      </c>
      <c r="AE475" s="123">
        <f t="shared" si="43"/>
        <v>0</v>
      </c>
      <c r="AF475" s="123">
        <f t="shared" si="43"/>
        <v>0</v>
      </c>
      <c r="AG475" s="123">
        <f t="shared" si="43"/>
        <v>0</v>
      </c>
      <c r="AH475" s="122">
        <f t="shared" si="45"/>
        <v>0</v>
      </c>
    </row>
    <row r="476" spans="1:34" s="86" customFormat="1" ht="15.75">
      <c r="A476" s="125">
        <v>219</v>
      </c>
      <c r="B476" s="286">
        <f>IFERROR(VLOOKUP(A476,Cargas!$B$3:$I$93,9,FALSE),0)</f>
        <v>0</v>
      </c>
      <c r="C476" s="127" t="s">
        <v>149</v>
      </c>
      <c r="D476" s="271">
        <f t="shared" si="46"/>
        <v>0</v>
      </c>
      <c r="E476" s="268">
        <f t="shared" si="47"/>
        <v>0</v>
      </c>
      <c r="F476" s="266"/>
      <c r="G476" s="266"/>
      <c r="H476" s="266">
        <f>IFERROR( VLOOKUP(A476,Descargas!$B$3:$I$94,3,FALSE),0)</f>
        <v>0</v>
      </c>
      <c r="I476" s="266">
        <f>IFERROR( VLOOKUP(A476,Descargas!$B$3:$I$94,4,FALSE),0)</f>
        <v>0</v>
      </c>
      <c r="J476" s="266">
        <f>IFERROR( VLOOKUP(A476,Descargas!$B$3:$I$94,5,FALSE),0)</f>
        <v>0</v>
      </c>
      <c r="K476" s="266">
        <f>IFERROR( VLOOKUP(A476,Descargas!$B$3:$I$94,6,FALSE),0)</f>
        <v>0</v>
      </c>
      <c r="L476" s="266">
        <f>IFERROR( VLOOKUP(A476,Descargas!$B$3:$I$94,7,FALSE),0)</f>
        <v>0</v>
      </c>
      <c r="AB476" s="123">
        <f t="shared" si="44"/>
        <v>0</v>
      </c>
      <c r="AC476" s="123">
        <f t="shared" si="44"/>
        <v>0</v>
      </c>
      <c r="AD476" s="123">
        <f>+I476/I$9</f>
        <v>0</v>
      </c>
      <c r="AE476" s="123">
        <f t="shared" si="43"/>
        <v>0</v>
      </c>
      <c r="AF476" s="123">
        <f t="shared" si="43"/>
        <v>0</v>
      </c>
      <c r="AG476" s="123">
        <f t="shared" si="43"/>
        <v>0</v>
      </c>
      <c r="AH476" s="122">
        <f t="shared" si="45"/>
        <v>0</v>
      </c>
    </row>
    <row r="477" spans="1:34" ht="15.75">
      <c r="A477" s="125">
        <v>220</v>
      </c>
      <c r="B477" s="286">
        <f>IFERROR(VLOOKUP(A477,Cargas!$B$3:$I$93,9,FALSE),0)</f>
        <v>0</v>
      </c>
      <c r="C477" s="127" t="s">
        <v>150</v>
      </c>
      <c r="D477" s="271">
        <f t="shared" si="46"/>
        <v>0</v>
      </c>
      <c r="E477" s="268">
        <f t="shared" si="47"/>
        <v>0</v>
      </c>
      <c r="F477" s="266"/>
      <c r="G477" s="266"/>
      <c r="H477" s="266">
        <f>IFERROR( VLOOKUP(A477,Descargas!$B$3:$I$94,3,FALSE),0)</f>
        <v>0</v>
      </c>
      <c r="I477" s="266">
        <f>IFERROR( VLOOKUP(A477,Descargas!$B$3:$I$94,4,FALSE),0)</f>
        <v>0</v>
      </c>
      <c r="J477" s="266">
        <f>IFERROR( VLOOKUP(A477,Descargas!$B$3:$I$94,5,FALSE),0)</f>
        <v>0</v>
      </c>
      <c r="K477" s="266">
        <f>IFERROR( VLOOKUP(A477,Descargas!$B$3:$I$94,6,FALSE),0)</f>
        <v>0</v>
      </c>
      <c r="L477" s="266">
        <f>IFERROR( VLOOKUP(A477,Descargas!$B$3:$I$94,7,FALSE),0)</f>
        <v>0</v>
      </c>
      <c r="AB477" s="123">
        <f t="shared" si="44"/>
        <v>0</v>
      </c>
      <c r="AC477" s="123">
        <f t="shared" si="44"/>
        <v>0</v>
      </c>
      <c r="AD477" s="123">
        <f t="shared" si="44"/>
        <v>0</v>
      </c>
      <c r="AE477" s="123">
        <f t="shared" si="43"/>
        <v>0</v>
      </c>
      <c r="AF477" s="123">
        <f t="shared" si="43"/>
        <v>0</v>
      </c>
      <c r="AG477" s="123">
        <f t="shared" si="43"/>
        <v>0</v>
      </c>
      <c r="AH477" s="122">
        <f t="shared" si="45"/>
        <v>0</v>
      </c>
    </row>
    <row r="478" spans="1:34" s="86" customFormat="1" ht="15.75">
      <c r="A478" s="125">
        <v>221</v>
      </c>
      <c r="B478" s="286">
        <f>IFERROR(VLOOKUP(A478,Cargas!$B$3:$I$93,9,FALSE),0)</f>
        <v>0</v>
      </c>
      <c r="C478" s="127" t="s">
        <v>151</v>
      </c>
      <c r="D478" s="271">
        <f t="shared" si="46"/>
        <v>0</v>
      </c>
      <c r="E478" s="268">
        <f t="shared" si="47"/>
        <v>0</v>
      </c>
      <c r="F478" s="268"/>
      <c r="G478" s="268"/>
      <c r="H478" s="266">
        <f>IFERROR( VLOOKUP(A478,Descargas!$B$3:$I$94,3,FALSE),0)</f>
        <v>0</v>
      </c>
      <c r="I478" s="266">
        <f>IFERROR( VLOOKUP(A478,Descargas!$B$3:$I$94,4,FALSE),0)</f>
        <v>0</v>
      </c>
      <c r="J478" s="266">
        <f>IFERROR( VLOOKUP(A478,Descargas!$B$3:$I$94,5,FALSE),0)</f>
        <v>0</v>
      </c>
      <c r="K478" s="266">
        <f>IFERROR( VLOOKUP(A478,Descargas!$B$3:$I$94,6,FALSE),0)</f>
        <v>0</v>
      </c>
      <c r="L478" s="266">
        <f>IFERROR( VLOOKUP(A478,Descargas!$B$3:$I$94,7,FALSE),0)</f>
        <v>0</v>
      </c>
      <c r="AB478" s="123">
        <f t="shared" si="44"/>
        <v>0</v>
      </c>
      <c r="AC478" s="123">
        <f t="shared" si="44"/>
        <v>0</v>
      </c>
      <c r="AD478" s="123">
        <f t="shared" si="44"/>
        <v>0</v>
      </c>
      <c r="AE478" s="123">
        <f t="shared" si="43"/>
        <v>0</v>
      </c>
      <c r="AF478" s="123">
        <f t="shared" si="43"/>
        <v>0</v>
      </c>
      <c r="AG478" s="123">
        <f t="shared" si="43"/>
        <v>0</v>
      </c>
      <c r="AH478" s="122">
        <f t="shared" si="45"/>
        <v>0</v>
      </c>
    </row>
    <row r="479" spans="1:34" s="86" customFormat="1" ht="15.75">
      <c r="A479" s="125">
        <v>222</v>
      </c>
      <c r="B479" s="286">
        <f>IFERROR(VLOOKUP(A479,Cargas!$B$3:$I$93,9,FALSE),0)</f>
        <v>0</v>
      </c>
      <c r="C479" s="127" t="s">
        <v>152</v>
      </c>
      <c r="D479" s="271">
        <f t="shared" si="46"/>
        <v>0</v>
      </c>
      <c r="E479" s="268">
        <f>+SUM(H479:L479)</f>
        <v>0</v>
      </c>
      <c r="F479" s="266"/>
      <c r="G479" s="266"/>
      <c r="H479" s="266">
        <f>IFERROR( VLOOKUP(A479,Descargas!$B$3:$I$94,3,FALSE),0)</f>
        <v>0</v>
      </c>
      <c r="I479" s="266">
        <f>IFERROR( VLOOKUP(A479,Descargas!$B$3:$I$94,4,FALSE),0)</f>
        <v>0</v>
      </c>
      <c r="J479" s="266">
        <f>IFERROR( VLOOKUP(A479,Descargas!$B$3:$I$94,5,FALSE),0)</f>
        <v>0</v>
      </c>
      <c r="K479" s="266">
        <f>IFERROR( VLOOKUP(A479,Descargas!$B$3:$I$94,6,FALSE),0)</f>
        <v>0</v>
      </c>
      <c r="L479" s="266">
        <f>IFERROR( VLOOKUP(A479,Descargas!$B$3:$I$94,7,FALSE),0)</f>
        <v>0</v>
      </c>
      <c r="AB479" s="123">
        <f t="shared" si="44"/>
        <v>0</v>
      </c>
      <c r="AC479" s="123">
        <f t="shared" si="44"/>
        <v>0</v>
      </c>
      <c r="AD479" s="123">
        <f t="shared" si="44"/>
        <v>0</v>
      </c>
      <c r="AE479" s="123">
        <f t="shared" si="43"/>
        <v>0</v>
      </c>
      <c r="AF479" s="123">
        <f t="shared" si="43"/>
        <v>0</v>
      </c>
      <c r="AG479" s="123">
        <f t="shared" si="43"/>
        <v>0</v>
      </c>
      <c r="AH479" s="122">
        <f t="shared" si="45"/>
        <v>0</v>
      </c>
    </row>
    <row r="480" spans="1:34" ht="15.75">
      <c r="A480" s="125">
        <v>223</v>
      </c>
      <c r="B480" s="286">
        <f>IFERROR(VLOOKUP(A480,Cargas!$B$3:$I$93,9,FALSE),0)</f>
        <v>0</v>
      </c>
      <c r="C480" s="127" t="s">
        <v>192</v>
      </c>
      <c r="D480" s="271">
        <f t="shared" si="46"/>
        <v>0</v>
      </c>
      <c r="E480" s="268">
        <f t="shared" si="47"/>
        <v>0</v>
      </c>
      <c r="F480" s="263"/>
      <c r="G480" s="266"/>
      <c r="H480" s="266">
        <f>IFERROR( VLOOKUP(A480,Descargas!$B$3:$I$94,3,FALSE),0)</f>
        <v>0</v>
      </c>
      <c r="I480" s="266">
        <f>IFERROR( VLOOKUP(A480,Descargas!$B$3:$I$94,4,FALSE),0)</f>
        <v>0</v>
      </c>
      <c r="J480" s="266">
        <f>IFERROR( VLOOKUP(A480,Descargas!$B$3:$I$94,5,FALSE),0)</f>
        <v>0</v>
      </c>
      <c r="K480" s="266">
        <f>IFERROR( VLOOKUP(A480,Descargas!$B$3:$I$94,6,FALSE),0)</f>
        <v>0</v>
      </c>
      <c r="L480" s="266">
        <f>IFERROR( VLOOKUP(A480,Descargas!$B$3:$I$94,7,FALSE),0)</f>
        <v>0</v>
      </c>
      <c r="AB480" s="123">
        <f t="shared" si="44"/>
        <v>0</v>
      </c>
      <c r="AC480" s="123">
        <f t="shared" si="44"/>
        <v>0</v>
      </c>
      <c r="AD480" s="123">
        <f t="shared" si="44"/>
        <v>0</v>
      </c>
      <c r="AE480" s="123">
        <f t="shared" si="43"/>
        <v>0</v>
      </c>
      <c r="AF480" s="123">
        <f t="shared" si="43"/>
        <v>0</v>
      </c>
      <c r="AG480" s="123">
        <f t="shared" si="43"/>
        <v>0</v>
      </c>
      <c r="AH480" s="122">
        <f t="shared" si="45"/>
        <v>0</v>
      </c>
    </row>
    <row r="481" spans="1:34" s="86" customFormat="1" ht="15.75">
      <c r="A481" s="125">
        <v>224</v>
      </c>
      <c r="B481" s="286">
        <f>IFERROR(VLOOKUP(A481,Cargas!$B$3:$I$93,9,FALSE),0)</f>
        <v>0</v>
      </c>
      <c r="C481" s="127" t="s">
        <v>193</v>
      </c>
      <c r="D481" s="271">
        <f t="shared" si="46"/>
        <v>0</v>
      </c>
      <c r="E481" s="268">
        <f>+SUM(H481:L481)</f>
        <v>0</v>
      </c>
      <c r="F481" s="266"/>
      <c r="G481" s="266"/>
      <c r="H481" s="266">
        <f>IFERROR( VLOOKUP(A481,Descargas!$B$3:$I$94,3,FALSE),0)</f>
        <v>0</v>
      </c>
      <c r="I481" s="266">
        <f>IFERROR( VLOOKUP(A481,Descargas!$B$3:$I$94,4,FALSE),0)</f>
        <v>0</v>
      </c>
      <c r="J481" s="266">
        <f>IFERROR( VLOOKUP(A481,Descargas!$B$3:$I$94,5,FALSE),0)</f>
        <v>0</v>
      </c>
      <c r="K481" s="266">
        <f>IFERROR( VLOOKUP(A481,Descargas!$B$3:$I$94,6,FALSE),0)</f>
        <v>0</v>
      </c>
      <c r="L481" s="266">
        <f>IFERROR( VLOOKUP(A481,Descargas!$B$3:$I$94,7,FALSE),0)</f>
        <v>0</v>
      </c>
      <c r="AB481" s="123">
        <f t="shared" si="44"/>
        <v>0</v>
      </c>
      <c r="AC481" s="123">
        <f t="shared" si="44"/>
        <v>0</v>
      </c>
      <c r="AD481" s="123">
        <f t="shared" si="44"/>
        <v>0</v>
      </c>
      <c r="AE481" s="123">
        <f t="shared" si="43"/>
        <v>0</v>
      </c>
      <c r="AF481" s="123">
        <f t="shared" si="43"/>
        <v>0</v>
      </c>
      <c r="AG481" s="123">
        <f t="shared" si="43"/>
        <v>0</v>
      </c>
      <c r="AH481" s="122">
        <f t="shared" si="45"/>
        <v>0</v>
      </c>
    </row>
    <row r="482" spans="1:34" s="86" customFormat="1" ht="15.75">
      <c r="A482" s="125">
        <v>225</v>
      </c>
      <c r="B482" s="286">
        <f>IFERROR(VLOOKUP(A482,Cargas!$B$3:$I$93,9,FALSE),0)</f>
        <v>0</v>
      </c>
      <c r="C482" s="127" t="s">
        <v>238</v>
      </c>
      <c r="D482" s="271">
        <f t="shared" si="46"/>
        <v>0</v>
      </c>
      <c r="E482" s="268">
        <f>+SUM(H482:L482)</f>
        <v>0</v>
      </c>
      <c r="F482" s="266"/>
      <c r="G482" s="266"/>
      <c r="H482" s="266">
        <f>IFERROR( VLOOKUP(A482,Descargas!$B$3:$I$94,3,FALSE),0)</f>
        <v>0</v>
      </c>
      <c r="I482" s="266">
        <f>IFERROR( VLOOKUP(A482,Descargas!$B$3:$I$94,4,FALSE),0)</f>
        <v>0</v>
      </c>
      <c r="J482" s="266">
        <f>IFERROR( VLOOKUP(A482,Descargas!$B$3:$I$94,5,FALSE),0)</f>
        <v>0</v>
      </c>
      <c r="K482" s="266">
        <f>IFERROR( VLOOKUP(A482,Descargas!$B$3:$I$94,6,FALSE),0)</f>
        <v>0</v>
      </c>
      <c r="L482" s="266">
        <f>IFERROR( VLOOKUP(A482,Descargas!$B$3:$I$94,7,FALSE),0)</f>
        <v>0</v>
      </c>
      <c r="AB482" s="123">
        <f t="shared" si="44"/>
        <v>0</v>
      </c>
      <c r="AC482" s="123">
        <f t="shared" si="44"/>
        <v>0</v>
      </c>
      <c r="AD482" s="123">
        <f t="shared" si="44"/>
        <v>0</v>
      </c>
      <c r="AE482" s="123">
        <f t="shared" si="43"/>
        <v>0</v>
      </c>
      <c r="AF482" s="123">
        <f t="shared" si="43"/>
        <v>0</v>
      </c>
      <c r="AG482" s="123">
        <f t="shared" si="43"/>
        <v>0</v>
      </c>
      <c r="AH482" s="122">
        <f t="shared" si="45"/>
        <v>0</v>
      </c>
    </row>
    <row r="483" spans="1:34" ht="15.75">
      <c r="A483" s="125">
        <v>226</v>
      </c>
      <c r="B483" s="286">
        <f>IFERROR(VLOOKUP(A483,Cargas!$B$3:$I$93,9,FALSE),0)</f>
        <v>0</v>
      </c>
      <c r="C483" s="127" t="s">
        <v>194</v>
      </c>
      <c r="D483" s="271">
        <f t="shared" si="46"/>
        <v>0</v>
      </c>
      <c r="E483" s="268">
        <f t="shared" si="47"/>
        <v>0</v>
      </c>
      <c r="F483" s="266"/>
      <c r="G483" s="266"/>
      <c r="H483" s="266">
        <f>IFERROR( VLOOKUP(A483,Descargas!$B$3:$I$94,3,FALSE),0)</f>
        <v>0</v>
      </c>
      <c r="I483" s="266">
        <f>IFERROR( VLOOKUP(A483,Descargas!$B$3:$I$94,4,FALSE),0)</f>
        <v>0</v>
      </c>
      <c r="J483" s="266">
        <f>IFERROR( VLOOKUP(A483,Descargas!$B$3:$I$94,5,FALSE),0)</f>
        <v>0</v>
      </c>
      <c r="K483" s="266">
        <f>IFERROR( VLOOKUP(A483,Descargas!$B$3:$I$94,6,FALSE),0)</f>
        <v>0</v>
      </c>
      <c r="L483" s="266">
        <f>IFERROR( VLOOKUP(A483,Descargas!$B$3:$I$94,7,FALSE),0)</f>
        <v>0</v>
      </c>
      <c r="AB483" s="123">
        <f t="shared" si="44"/>
        <v>0</v>
      </c>
      <c r="AC483" s="123">
        <f t="shared" si="44"/>
        <v>0</v>
      </c>
      <c r="AD483" s="123">
        <f t="shared" si="44"/>
        <v>0</v>
      </c>
      <c r="AE483" s="123">
        <f t="shared" si="43"/>
        <v>0</v>
      </c>
      <c r="AF483" s="123">
        <f t="shared" si="43"/>
        <v>0</v>
      </c>
      <c r="AG483" s="123">
        <f t="shared" si="43"/>
        <v>0</v>
      </c>
      <c r="AH483" s="122">
        <f t="shared" si="45"/>
        <v>0</v>
      </c>
    </row>
    <row r="484" spans="1:34" s="86" customFormat="1" ht="15.75">
      <c r="A484" s="125">
        <v>227</v>
      </c>
      <c r="B484" s="286">
        <f>IFERROR(VLOOKUP(A484,Cargas!$B$3:$I$93,9,FALSE),0)</f>
        <v>0</v>
      </c>
      <c r="C484" s="127" t="s">
        <v>195</v>
      </c>
      <c r="D484" s="271">
        <f t="shared" si="46"/>
        <v>0</v>
      </c>
      <c r="E484" s="268">
        <f t="shared" si="47"/>
        <v>0</v>
      </c>
      <c r="F484" s="266"/>
      <c r="G484" s="266"/>
      <c r="H484" s="266">
        <f>IFERROR( VLOOKUP(A484,Descargas!$B$3:$I$94,3,FALSE),0)</f>
        <v>0</v>
      </c>
      <c r="I484" s="266">
        <f>IFERROR( VLOOKUP(A484,Descargas!$B$3:$I$94,4,FALSE),0)</f>
        <v>0</v>
      </c>
      <c r="J484" s="266">
        <f>IFERROR( VLOOKUP(A484,Descargas!$B$3:$I$94,5,FALSE),0)</f>
        <v>0</v>
      </c>
      <c r="K484" s="266">
        <f>IFERROR( VLOOKUP(A484,Descargas!$B$3:$I$94,6,FALSE),0)</f>
        <v>0</v>
      </c>
      <c r="L484" s="266">
        <f>IFERROR( VLOOKUP(A484,Descargas!$B$3:$I$94,7,FALSE),0)</f>
        <v>0</v>
      </c>
      <c r="AB484" s="123">
        <f t="shared" si="44"/>
        <v>0</v>
      </c>
      <c r="AC484" s="123">
        <f t="shared" si="44"/>
        <v>0</v>
      </c>
      <c r="AD484" s="123">
        <f t="shared" si="44"/>
        <v>0</v>
      </c>
      <c r="AE484" s="123">
        <f t="shared" si="43"/>
        <v>0</v>
      </c>
      <c r="AF484" s="123">
        <f t="shared" si="43"/>
        <v>0</v>
      </c>
      <c r="AG484" s="123">
        <f t="shared" si="43"/>
        <v>0</v>
      </c>
      <c r="AH484" s="122">
        <f t="shared" si="45"/>
        <v>0</v>
      </c>
    </row>
    <row r="485" spans="1:34" s="86" customFormat="1" ht="15.75">
      <c r="A485" s="125">
        <v>228</v>
      </c>
      <c r="B485" s="286">
        <f>IFERROR(VLOOKUP(A485,Cargas!$B$3:$I$93,9,FALSE),0)</f>
        <v>0</v>
      </c>
      <c r="C485" s="127" t="s">
        <v>196</v>
      </c>
      <c r="D485" s="271">
        <f t="shared" si="46"/>
        <v>0</v>
      </c>
      <c r="E485" s="268">
        <f t="shared" si="47"/>
        <v>0</v>
      </c>
      <c r="F485" s="266"/>
      <c r="G485" s="266"/>
      <c r="H485" s="266">
        <f>IFERROR( VLOOKUP(A485,Descargas!$B$3:$I$94,3,FALSE),0)</f>
        <v>0</v>
      </c>
      <c r="I485" s="266">
        <f>IFERROR( VLOOKUP(A485,Descargas!$B$3:$I$94,4,FALSE),0)</f>
        <v>0</v>
      </c>
      <c r="J485" s="266">
        <f>IFERROR( VLOOKUP(A485,Descargas!$B$3:$I$94,5,FALSE),0)</f>
        <v>0</v>
      </c>
      <c r="K485" s="266">
        <f>IFERROR( VLOOKUP(A485,Descargas!$B$3:$I$94,6,FALSE),0)</f>
        <v>0</v>
      </c>
      <c r="L485" s="266">
        <f>IFERROR( VLOOKUP(A485,Descargas!$B$3:$I$94,7,FALSE),0)</f>
        <v>0</v>
      </c>
      <c r="AB485" s="123">
        <f t="shared" si="44"/>
        <v>0</v>
      </c>
      <c r="AC485" s="123">
        <f t="shared" si="44"/>
        <v>0</v>
      </c>
      <c r="AD485" s="123">
        <f t="shared" si="44"/>
        <v>0</v>
      </c>
      <c r="AE485" s="123">
        <f t="shared" si="43"/>
        <v>0</v>
      </c>
      <c r="AF485" s="123">
        <f t="shared" si="43"/>
        <v>0</v>
      </c>
      <c r="AG485" s="123">
        <f t="shared" si="43"/>
        <v>0</v>
      </c>
      <c r="AH485" s="122">
        <f t="shared" si="45"/>
        <v>0</v>
      </c>
    </row>
    <row r="486" spans="1:34" ht="15.75">
      <c r="A486" s="125">
        <v>229</v>
      </c>
      <c r="B486" s="286">
        <f>IFERROR(VLOOKUP(A486,Cargas!$B$3:$I$93,9,FALSE),0)</f>
        <v>0</v>
      </c>
      <c r="C486" s="127" t="s">
        <v>197</v>
      </c>
      <c r="D486" s="271">
        <f t="shared" si="46"/>
        <v>0</v>
      </c>
      <c r="E486" s="268">
        <f t="shared" si="47"/>
        <v>0</v>
      </c>
      <c r="F486" s="266"/>
      <c r="G486" s="266"/>
      <c r="H486" s="266">
        <f>IFERROR( VLOOKUP(A486,Descargas!$B$3:$I$94,3,FALSE),0)</f>
        <v>0</v>
      </c>
      <c r="I486" s="266">
        <f>IFERROR( VLOOKUP(A486,Descargas!$B$3:$I$94,4,FALSE),0)</f>
        <v>0</v>
      </c>
      <c r="J486" s="266">
        <f>IFERROR( VLOOKUP(A486,Descargas!$B$3:$I$94,5,FALSE),0)</f>
        <v>0</v>
      </c>
      <c r="K486" s="266">
        <f>IFERROR( VLOOKUP(A486,Descargas!$B$3:$I$94,6,FALSE),0)</f>
        <v>0</v>
      </c>
      <c r="L486" s="266">
        <f>IFERROR( VLOOKUP(A486,Descargas!$B$3:$I$94,7,FALSE),0)</f>
        <v>0</v>
      </c>
      <c r="AB486" s="123">
        <f t="shared" si="44"/>
        <v>0</v>
      </c>
      <c r="AC486" s="123">
        <f t="shared" si="44"/>
        <v>0</v>
      </c>
      <c r="AD486" s="123">
        <f t="shared" si="44"/>
        <v>0</v>
      </c>
      <c r="AE486" s="123">
        <f t="shared" si="43"/>
        <v>0</v>
      </c>
      <c r="AF486" s="123">
        <f t="shared" si="43"/>
        <v>0</v>
      </c>
      <c r="AG486" s="123">
        <f t="shared" si="43"/>
        <v>0</v>
      </c>
      <c r="AH486" s="122">
        <f t="shared" si="45"/>
        <v>0</v>
      </c>
    </row>
    <row r="487" spans="1:34" s="86" customFormat="1" ht="15.75">
      <c r="A487" s="125">
        <v>230</v>
      </c>
      <c r="B487" s="286">
        <f>IFERROR(VLOOKUP(A487,Cargas!$B$3:$I$93,9,FALSE),0)</f>
        <v>0</v>
      </c>
      <c r="C487" s="127" t="s">
        <v>198</v>
      </c>
      <c r="D487" s="271">
        <f t="shared" si="46"/>
        <v>0</v>
      </c>
      <c r="E487" s="268">
        <f t="shared" si="47"/>
        <v>0</v>
      </c>
      <c r="F487" s="263"/>
      <c r="G487" s="266"/>
      <c r="H487" s="266">
        <f>IFERROR( VLOOKUP(A487,Descargas!$B$3:$I$94,3,FALSE),0)</f>
        <v>0</v>
      </c>
      <c r="I487" s="266">
        <f>IFERROR( VLOOKUP(A487,Descargas!$B$3:$I$94,4,FALSE),0)</f>
        <v>0</v>
      </c>
      <c r="J487" s="266">
        <f>IFERROR( VLOOKUP(A487,Descargas!$B$3:$I$94,5,FALSE),0)</f>
        <v>0</v>
      </c>
      <c r="K487" s="266">
        <f>IFERROR( VLOOKUP(A487,Descargas!$B$3:$I$94,6,FALSE),0)</f>
        <v>0</v>
      </c>
      <c r="L487" s="266">
        <f>IFERROR( VLOOKUP(A487,Descargas!$B$3:$I$94,7,FALSE),0)</f>
        <v>0</v>
      </c>
      <c r="AB487" s="123">
        <f t="shared" si="44"/>
        <v>0</v>
      </c>
      <c r="AC487" s="123">
        <f t="shared" si="44"/>
        <v>0</v>
      </c>
      <c r="AD487" s="123">
        <f t="shared" si="44"/>
        <v>0</v>
      </c>
      <c r="AE487" s="123">
        <f t="shared" si="43"/>
        <v>0</v>
      </c>
      <c r="AF487" s="123">
        <f t="shared" si="43"/>
        <v>0</v>
      </c>
      <c r="AG487" s="123">
        <f t="shared" si="43"/>
        <v>0</v>
      </c>
      <c r="AH487" s="122">
        <f t="shared" si="45"/>
        <v>0</v>
      </c>
    </row>
    <row r="488" spans="1:34" s="86" customFormat="1" ht="15.75">
      <c r="A488" s="125">
        <v>231</v>
      </c>
      <c r="B488" s="286">
        <f>IFERROR(VLOOKUP(A488,Cargas!$B$3:$I$93,9,FALSE),0)</f>
        <v>0</v>
      </c>
      <c r="C488" s="127" t="s">
        <v>199</v>
      </c>
      <c r="D488" s="271">
        <f t="shared" si="46"/>
        <v>0</v>
      </c>
      <c r="E488" s="268">
        <f t="shared" si="47"/>
        <v>0</v>
      </c>
      <c r="F488" s="266"/>
      <c r="G488" s="266"/>
      <c r="H488" s="266">
        <f>IFERROR( VLOOKUP(A488,Descargas!$B$3:$I$94,3,FALSE),0)</f>
        <v>0</v>
      </c>
      <c r="I488" s="266">
        <f>IFERROR( VLOOKUP(A488,Descargas!$B$3:$I$94,4,FALSE),0)</f>
        <v>0</v>
      </c>
      <c r="J488" s="266">
        <f>IFERROR( VLOOKUP(A488,Descargas!$B$3:$I$94,5,FALSE),0)</f>
        <v>0</v>
      </c>
      <c r="K488" s="266">
        <f>IFERROR( VLOOKUP(A488,Descargas!$B$3:$I$94,6,FALSE),0)</f>
        <v>0</v>
      </c>
      <c r="L488" s="266">
        <f>IFERROR( VLOOKUP(A488,Descargas!$B$3:$I$94,7,FALSE),0)</f>
        <v>0</v>
      </c>
      <c r="AB488" s="123">
        <f t="shared" si="44"/>
        <v>0</v>
      </c>
      <c r="AC488" s="123">
        <f t="shared" si="44"/>
        <v>0</v>
      </c>
      <c r="AD488" s="123">
        <f t="shared" si="44"/>
        <v>0</v>
      </c>
      <c r="AE488" s="123">
        <f t="shared" si="43"/>
        <v>0</v>
      </c>
      <c r="AF488" s="123">
        <f t="shared" si="43"/>
        <v>0</v>
      </c>
      <c r="AG488" s="123">
        <f t="shared" si="43"/>
        <v>0</v>
      </c>
      <c r="AH488" s="122">
        <f t="shared" si="45"/>
        <v>0</v>
      </c>
    </row>
    <row r="489" spans="1:34" s="74" customFormat="1" ht="15.75">
      <c r="A489" s="125">
        <v>232</v>
      </c>
      <c r="B489" s="286">
        <f>IFERROR(VLOOKUP(A489,Cargas!$B$3:$I$93,9,FALSE),0)</f>
        <v>0</v>
      </c>
      <c r="C489" s="127" t="s">
        <v>200</v>
      </c>
      <c r="D489" s="271">
        <f t="shared" si="46"/>
        <v>0</v>
      </c>
      <c r="E489" s="268">
        <f>+SUM(H489:L489)</f>
        <v>0</v>
      </c>
      <c r="F489" s="266"/>
      <c r="G489" s="266"/>
      <c r="H489" s="266">
        <f>IFERROR( VLOOKUP(A489,Descargas!$B$3:$I$94,3,FALSE),0)</f>
        <v>0</v>
      </c>
      <c r="I489" s="266">
        <f>IFERROR( VLOOKUP(A489,Descargas!$B$3:$I$94,4,FALSE),0)</f>
        <v>0</v>
      </c>
      <c r="J489" s="266">
        <f>IFERROR( VLOOKUP(A489,Descargas!$B$3:$I$94,5,FALSE),0)</f>
        <v>0</v>
      </c>
      <c r="K489" s="266">
        <f>IFERROR( VLOOKUP(A489,Descargas!$B$3:$I$94,6,FALSE),0)</f>
        <v>0</v>
      </c>
      <c r="L489" s="266">
        <f>IFERROR( VLOOKUP(A489,Descargas!$B$3:$I$94,7,FALSE),0)</f>
        <v>0</v>
      </c>
      <c r="AB489" s="123">
        <f t="shared" si="44"/>
        <v>0</v>
      </c>
      <c r="AC489" s="123">
        <f t="shared" si="44"/>
        <v>0</v>
      </c>
      <c r="AD489" s="123">
        <f t="shared" si="44"/>
        <v>0</v>
      </c>
      <c r="AE489" s="123">
        <f t="shared" si="43"/>
        <v>0</v>
      </c>
      <c r="AF489" s="123">
        <f t="shared" si="43"/>
        <v>0</v>
      </c>
      <c r="AG489" s="123">
        <f t="shared" si="43"/>
        <v>0</v>
      </c>
      <c r="AH489" s="122">
        <f t="shared" si="45"/>
        <v>0</v>
      </c>
    </row>
    <row r="490" spans="1:34" s="86" customFormat="1" ht="15.75">
      <c r="A490" s="125">
        <v>233</v>
      </c>
      <c r="B490" s="286">
        <f>IFERROR(VLOOKUP(A490,Cargas!$B$3:$I$93,9,FALSE),0)</f>
        <v>0</v>
      </c>
      <c r="C490" s="127" t="s">
        <v>201</v>
      </c>
      <c r="D490" s="271">
        <f t="shared" si="46"/>
        <v>0</v>
      </c>
      <c r="E490" s="268">
        <f t="shared" si="47"/>
        <v>0</v>
      </c>
      <c r="F490" s="266"/>
      <c r="G490" s="266"/>
      <c r="H490" s="266">
        <f>IFERROR( VLOOKUP(A490,Descargas!$B$3:$I$94,3,FALSE),0)</f>
        <v>0</v>
      </c>
      <c r="I490" s="266">
        <f>IFERROR( VLOOKUP(A490,Descargas!$B$3:$I$94,4,FALSE),0)</f>
        <v>0</v>
      </c>
      <c r="J490" s="266">
        <f>IFERROR( VLOOKUP(A490,Descargas!$B$3:$I$94,5,FALSE),0)</f>
        <v>0</v>
      </c>
      <c r="K490" s="266">
        <f>IFERROR( VLOOKUP(A490,Descargas!$B$3:$I$94,6,FALSE),0)</f>
        <v>0</v>
      </c>
      <c r="L490" s="266">
        <f>IFERROR( VLOOKUP(A490,Descargas!$B$3:$I$94,7,FALSE),0)</f>
        <v>0</v>
      </c>
      <c r="AB490" s="123">
        <f t="shared" si="44"/>
        <v>0</v>
      </c>
      <c r="AC490" s="123">
        <f t="shared" si="44"/>
        <v>0</v>
      </c>
      <c r="AD490" s="123">
        <f t="shared" si="44"/>
        <v>0</v>
      </c>
      <c r="AE490" s="123">
        <f t="shared" si="43"/>
        <v>0</v>
      </c>
      <c r="AF490" s="123">
        <f t="shared" si="43"/>
        <v>0</v>
      </c>
      <c r="AG490" s="123">
        <f t="shared" si="43"/>
        <v>0</v>
      </c>
      <c r="AH490" s="122">
        <f t="shared" si="45"/>
        <v>0</v>
      </c>
    </row>
    <row r="491" spans="1:34" s="86" customFormat="1" ht="15.75">
      <c r="A491" s="125">
        <v>234</v>
      </c>
      <c r="B491" s="286">
        <f>IFERROR(VLOOKUP(A491,Cargas!$B$3:$I$93,9,FALSE),0)</f>
        <v>0</v>
      </c>
      <c r="C491" s="127" t="s">
        <v>202</v>
      </c>
      <c r="D491" s="271">
        <f t="shared" si="46"/>
        <v>0</v>
      </c>
      <c r="E491" s="268">
        <f t="shared" si="47"/>
        <v>0</v>
      </c>
      <c r="F491" s="263"/>
      <c r="G491" s="266"/>
      <c r="H491" s="266">
        <f>IFERROR( VLOOKUP(A491,Descargas!$B$3:$I$94,3,FALSE),0)</f>
        <v>0</v>
      </c>
      <c r="I491" s="266">
        <f>IFERROR( VLOOKUP(A491,Descargas!$B$3:$I$94,4,FALSE),0)</f>
        <v>0</v>
      </c>
      <c r="J491" s="266">
        <f>IFERROR( VLOOKUP(A491,Descargas!$B$3:$I$94,5,FALSE),0)</f>
        <v>0</v>
      </c>
      <c r="K491" s="266">
        <f>IFERROR( VLOOKUP(A491,Descargas!$B$3:$I$94,6,FALSE),0)</f>
        <v>0</v>
      </c>
      <c r="L491" s="266">
        <f>IFERROR( VLOOKUP(A491,Descargas!$B$3:$I$94,7,FALSE),0)</f>
        <v>0</v>
      </c>
      <c r="AB491" s="123">
        <f t="shared" si="44"/>
        <v>0</v>
      </c>
      <c r="AC491" s="123">
        <f t="shared" si="44"/>
        <v>0</v>
      </c>
      <c r="AD491" s="123">
        <f t="shared" si="44"/>
        <v>0</v>
      </c>
      <c r="AE491" s="123">
        <f t="shared" si="43"/>
        <v>0</v>
      </c>
      <c r="AF491" s="123">
        <f t="shared" si="43"/>
        <v>0</v>
      </c>
      <c r="AG491" s="123">
        <f t="shared" si="43"/>
        <v>0</v>
      </c>
      <c r="AH491" s="122">
        <f t="shared" si="45"/>
        <v>0</v>
      </c>
    </row>
    <row r="492" spans="1:34" ht="15.75">
      <c r="A492" s="125">
        <v>235</v>
      </c>
      <c r="B492" s="286">
        <f>IFERROR(VLOOKUP(A492,Cargas!$B$3:$I$93,9,FALSE),0)</f>
        <v>0</v>
      </c>
      <c r="C492" s="127" t="s">
        <v>203</v>
      </c>
      <c r="D492" s="271">
        <f t="shared" si="46"/>
        <v>0</v>
      </c>
      <c r="E492" s="268">
        <f t="shared" si="47"/>
        <v>0</v>
      </c>
      <c r="F492" s="263"/>
      <c r="G492" s="266"/>
      <c r="H492" s="266">
        <f>IFERROR( VLOOKUP(A492,Descargas!$B$3:$I$94,3,FALSE),0)</f>
        <v>0</v>
      </c>
      <c r="I492" s="266">
        <f>IFERROR( VLOOKUP(A492,Descargas!$B$3:$I$94,4,FALSE),0)</f>
        <v>0</v>
      </c>
      <c r="J492" s="266">
        <f>IFERROR( VLOOKUP(A492,Descargas!$B$3:$I$94,5,FALSE),0)</f>
        <v>0</v>
      </c>
      <c r="K492" s="266">
        <f>IFERROR( VLOOKUP(A492,Descargas!$B$3:$I$94,6,FALSE),0)</f>
        <v>0</v>
      </c>
      <c r="L492" s="266">
        <f>IFERROR( VLOOKUP(A492,Descargas!$B$3:$I$94,7,FALSE),0)</f>
        <v>0</v>
      </c>
      <c r="AB492" s="123">
        <f t="shared" si="44"/>
        <v>0</v>
      </c>
      <c r="AC492" s="123">
        <f t="shared" si="44"/>
        <v>0</v>
      </c>
      <c r="AD492" s="123">
        <f t="shared" si="44"/>
        <v>0</v>
      </c>
      <c r="AE492" s="123">
        <f t="shared" si="43"/>
        <v>0</v>
      </c>
      <c r="AF492" s="123">
        <f t="shared" si="43"/>
        <v>0</v>
      </c>
      <c r="AG492" s="123">
        <f t="shared" si="43"/>
        <v>0</v>
      </c>
      <c r="AH492" s="122">
        <f t="shared" si="45"/>
        <v>0</v>
      </c>
    </row>
    <row r="493" spans="1:34" s="86" customFormat="1" ht="15.75">
      <c r="A493" s="125">
        <v>236</v>
      </c>
      <c r="B493" s="286">
        <f>IFERROR(VLOOKUP(A493,Cargas!$B$3:$I$93,9,FALSE),0)</f>
        <v>0</v>
      </c>
      <c r="C493" s="127" t="s">
        <v>204</v>
      </c>
      <c r="D493" s="271">
        <f t="shared" si="46"/>
        <v>0</v>
      </c>
      <c r="E493" s="268">
        <f t="shared" si="47"/>
        <v>0</v>
      </c>
      <c r="F493" s="266"/>
      <c r="G493" s="266"/>
      <c r="H493" s="266">
        <f>IFERROR( VLOOKUP(A493,Descargas!$B$3:$I$94,3,FALSE),0)</f>
        <v>0</v>
      </c>
      <c r="I493" s="266">
        <f>IFERROR( VLOOKUP(A493,Descargas!$B$3:$I$94,4,FALSE),0)</f>
        <v>0</v>
      </c>
      <c r="J493" s="266">
        <f>IFERROR( VLOOKUP(A493,Descargas!$B$3:$I$94,5,FALSE),0)</f>
        <v>0</v>
      </c>
      <c r="K493" s="266">
        <f>IFERROR( VLOOKUP(A493,Descargas!$B$3:$I$94,6,FALSE),0)</f>
        <v>0</v>
      </c>
      <c r="L493" s="266">
        <f>IFERROR( VLOOKUP(A493,Descargas!$B$3:$I$94,7,FALSE),0)</f>
        <v>0</v>
      </c>
      <c r="AB493" s="123">
        <f t="shared" si="44"/>
        <v>0</v>
      </c>
      <c r="AC493" s="123">
        <f t="shared" si="44"/>
        <v>0</v>
      </c>
      <c r="AD493" s="123">
        <f t="shared" si="44"/>
        <v>0</v>
      </c>
      <c r="AE493" s="123">
        <f t="shared" si="43"/>
        <v>0</v>
      </c>
      <c r="AF493" s="123">
        <f t="shared" si="43"/>
        <v>0</v>
      </c>
      <c r="AG493" s="123">
        <f t="shared" si="43"/>
        <v>0</v>
      </c>
      <c r="AH493" s="122">
        <f t="shared" si="45"/>
        <v>0</v>
      </c>
    </row>
    <row r="494" spans="1:34" s="86" customFormat="1" ht="15.75">
      <c r="A494" s="125">
        <v>237</v>
      </c>
      <c r="B494" s="286">
        <f>IFERROR(VLOOKUP(A494,Cargas!$B$3:$I$93,9,FALSE),0)</f>
        <v>0</v>
      </c>
      <c r="C494" s="127" t="s">
        <v>239</v>
      </c>
      <c r="D494" s="271">
        <f t="shared" si="46"/>
        <v>0</v>
      </c>
      <c r="E494" s="268">
        <f>+SUM(H494:L494)</f>
        <v>0</v>
      </c>
      <c r="F494" s="266"/>
      <c r="G494" s="266"/>
      <c r="H494" s="266">
        <f>IFERROR( VLOOKUP(A494,Descargas!$B$3:$I$94,3,FALSE),0)</f>
        <v>0</v>
      </c>
      <c r="I494" s="266">
        <f>IFERROR( VLOOKUP(A494,Descargas!$B$3:$I$94,4,FALSE),0)</f>
        <v>0</v>
      </c>
      <c r="J494" s="266">
        <f>IFERROR( VLOOKUP(A494,Descargas!$B$3:$I$94,5,FALSE),0)</f>
        <v>0</v>
      </c>
      <c r="K494" s="266">
        <f>IFERROR( VLOOKUP(A494,Descargas!$B$3:$I$94,6,FALSE),0)</f>
        <v>0</v>
      </c>
      <c r="L494" s="266">
        <f>IFERROR( VLOOKUP(A494,Descargas!$B$3:$I$94,7,FALSE),0)</f>
        <v>0</v>
      </c>
      <c r="AB494" s="123">
        <f t="shared" si="44"/>
        <v>0</v>
      </c>
      <c r="AC494" s="123">
        <f t="shared" si="44"/>
        <v>0</v>
      </c>
      <c r="AD494" s="123">
        <f t="shared" si="44"/>
        <v>0</v>
      </c>
      <c r="AE494" s="123">
        <f t="shared" si="43"/>
        <v>0</v>
      </c>
      <c r="AF494" s="123">
        <f t="shared" si="43"/>
        <v>0</v>
      </c>
      <c r="AG494" s="123">
        <f t="shared" si="43"/>
        <v>0</v>
      </c>
      <c r="AH494" s="122">
        <f t="shared" si="45"/>
        <v>0</v>
      </c>
    </row>
    <row r="495" spans="1:34" ht="15.75">
      <c r="A495" s="125">
        <v>238</v>
      </c>
      <c r="B495" s="286">
        <f>IFERROR(VLOOKUP(A495,Cargas!$B$3:$I$93,9,FALSE),0)</f>
        <v>0</v>
      </c>
      <c r="C495" s="127" t="s">
        <v>240</v>
      </c>
      <c r="D495" s="271">
        <f t="shared" si="46"/>
        <v>0</v>
      </c>
      <c r="E495" s="268">
        <f>+SUM(H495:L495)</f>
        <v>0</v>
      </c>
      <c r="F495" s="266"/>
      <c r="G495" s="266"/>
      <c r="H495" s="266">
        <f>IFERROR( VLOOKUP(A495,Descargas!$B$3:$I$94,3,FALSE),0)</f>
        <v>0</v>
      </c>
      <c r="I495" s="266">
        <f>IFERROR( VLOOKUP(A495,Descargas!$B$3:$I$94,4,FALSE),0)</f>
        <v>0</v>
      </c>
      <c r="J495" s="266">
        <f>IFERROR( VLOOKUP(A495,Descargas!$B$3:$I$94,5,FALSE),0)</f>
        <v>0</v>
      </c>
      <c r="K495" s="266">
        <f>IFERROR( VLOOKUP(A495,Descargas!$B$3:$I$94,6,FALSE),0)</f>
        <v>0</v>
      </c>
      <c r="L495" s="266">
        <f>IFERROR( VLOOKUP(A495,Descargas!$B$3:$I$94,7,FALSE),0)</f>
        <v>0</v>
      </c>
      <c r="AB495" s="123">
        <f t="shared" si="44"/>
        <v>0</v>
      </c>
      <c r="AC495" s="123">
        <f t="shared" si="44"/>
        <v>0</v>
      </c>
      <c r="AD495" s="123">
        <f t="shared" si="44"/>
        <v>0</v>
      </c>
      <c r="AE495" s="123">
        <f t="shared" si="43"/>
        <v>0</v>
      </c>
      <c r="AF495" s="123">
        <f t="shared" si="43"/>
        <v>0</v>
      </c>
      <c r="AG495" s="123">
        <f t="shared" si="43"/>
        <v>0</v>
      </c>
      <c r="AH495" s="122">
        <f t="shared" si="45"/>
        <v>0</v>
      </c>
    </row>
    <row r="496" spans="1:34" s="86" customFormat="1" ht="15.75">
      <c r="A496" s="125">
        <v>239</v>
      </c>
      <c r="B496" s="286">
        <f>IFERROR(VLOOKUP(A496,Cargas!$B$3:$I$93,9,FALSE),0)</f>
        <v>0</v>
      </c>
      <c r="C496" s="127" t="s">
        <v>205</v>
      </c>
      <c r="D496" s="271">
        <f t="shared" ref="D496:D527" si="48">+SUM(H496:L496)</f>
        <v>0</v>
      </c>
      <c r="E496" s="268">
        <f t="shared" si="47"/>
        <v>0</v>
      </c>
      <c r="F496" s="266"/>
      <c r="G496" s="266"/>
      <c r="H496" s="266">
        <f>IFERROR( VLOOKUP(A496,Descargas!$B$3:$I$94,3,FALSE),0)</f>
        <v>0</v>
      </c>
      <c r="I496" s="266">
        <f>IFERROR( VLOOKUP(A496,Descargas!$B$3:$I$94,4,FALSE),0)</f>
        <v>0</v>
      </c>
      <c r="J496" s="266">
        <f>IFERROR( VLOOKUP(A496,Descargas!$B$3:$I$94,5,FALSE),0)</f>
        <v>0</v>
      </c>
      <c r="K496" s="266">
        <f>IFERROR( VLOOKUP(A496,Descargas!$B$3:$I$94,6,FALSE),0)</f>
        <v>0</v>
      </c>
      <c r="L496" s="266">
        <f>IFERROR( VLOOKUP(A496,Descargas!$B$3:$I$94,7,FALSE),0)</f>
        <v>0</v>
      </c>
      <c r="AB496" s="123">
        <f t="shared" si="44"/>
        <v>0</v>
      </c>
      <c r="AC496" s="123">
        <f t="shared" si="44"/>
        <v>0</v>
      </c>
      <c r="AD496" s="123">
        <f t="shared" si="44"/>
        <v>0</v>
      </c>
      <c r="AE496" s="123">
        <f t="shared" si="43"/>
        <v>0</v>
      </c>
      <c r="AF496" s="123">
        <f t="shared" si="43"/>
        <v>0</v>
      </c>
      <c r="AG496" s="123">
        <f t="shared" si="43"/>
        <v>0</v>
      </c>
      <c r="AH496" s="122">
        <f t="shared" si="45"/>
        <v>0</v>
      </c>
    </row>
    <row r="497" spans="1:34" s="86" customFormat="1" ht="15.75">
      <c r="A497" s="125">
        <v>240</v>
      </c>
      <c r="B497" s="286">
        <f>IFERROR(VLOOKUP(A497,Cargas!$B$3:$I$93,9,FALSE),0)</f>
        <v>0</v>
      </c>
      <c r="C497" s="127" t="s">
        <v>206</v>
      </c>
      <c r="D497" s="271">
        <f t="shared" si="48"/>
        <v>0</v>
      </c>
      <c r="E497" s="268">
        <f t="shared" si="47"/>
        <v>0</v>
      </c>
      <c r="F497" s="266"/>
      <c r="G497" s="266"/>
      <c r="H497" s="266">
        <f>IFERROR( VLOOKUP(A497,Descargas!$B$3:$I$94,3,FALSE),0)</f>
        <v>0</v>
      </c>
      <c r="I497" s="266">
        <f>IFERROR( VLOOKUP(A497,Descargas!$B$3:$I$94,4,FALSE),0)</f>
        <v>0</v>
      </c>
      <c r="J497" s="266">
        <f>IFERROR( VLOOKUP(A497,Descargas!$B$3:$I$94,5,FALSE),0)</f>
        <v>0</v>
      </c>
      <c r="K497" s="266">
        <f>IFERROR( VLOOKUP(A497,Descargas!$B$3:$I$94,6,FALSE),0)</f>
        <v>0</v>
      </c>
      <c r="L497" s="266">
        <f>IFERROR( VLOOKUP(A497,Descargas!$B$3:$I$94,7,FALSE),0)</f>
        <v>0</v>
      </c>
      <c r="AB497" s="123">
        <f t="shared" si="44"/>
        <v>0</v>
      </c>
      <c r="AC497" s="123">
        <f t="shared" si="44"/>
        <v>0</v>
      </c>
      <c r="AD497" s="123">
        <f t="shared" si="44"/>
        <v>0</v>
      </c>
      <c r="AE497" s="123">
        <f t="shared" si="43"/>
        <v>0</v>
      </c>
      <c r="AF497" s="123">
        <f t="shared" si="43"/>
        <v>0</v>
      </c>
      <c r="AG497" s="123">
        <f t="shared" si="43"/>
        <v>0</v>
      </c>
      <c r="AH497" s="122">
        <f t="shared" si="45"/>
        <v>0</v>
      </c>
    </row>
    <row r="498" spans="1:34" ht="15.75">
      <c r="A498" s="125">
        <v>241</v>
      </c>
      <c r="B498" s="286">
        <f>IFERROR(VLOOKUP(A498,Cargas!$B$3:$I$93,9,FALSE),0)</f>
        <v>0</v>
      </c>
      <c r="C498" s="127" t="s">
        <v>223</v>
      </c>
      <c r="D498" s="271">
        <f t="shared" si="48"/>
        <v>0</v>
      </c>
      <c r="E498" s="268">
        <f t="shared" si="47"/>
        <v>0</v>
      </c>
      <c r="F498" s="266"/>
      <c r="G498" s="266"/>
      <c r="H498" s="266">
        <f>IFERROR( VLOOKUP(A498,Descargas!$B$3:$I$94,3,FALSE),0)</f>
        <v>0</v>
      </c>
      <c r="I498" s="266">
        <f>IFERROR( VLOOKUP(A498,Descargas!$B$3:$I$94,4,FALSE),0)</f>
        <v>0</v>
      </c>
      <c r="J498" s="266">
        <f>IFERROR( VLOOKUP(A498,Descargas!$B$3:$I$94,5,FALSE),0)</f>
        <v>0</v>
      </c>
      <c r="K498" s="266">
        <f>IFERROR( VLOOKUP(A498,Descargas!$B$3:$I$94,6,FALSE),0)</f>
        <v>0</v>
      </c>
      <c r="L498" s="266">
        <f>IFERROR( VLOOKUP(A498,Descargas!$B$3:$I$94,7,FALSE),0)</f>
        <v>0</v>
      </c>
      <c r="AB498" s="123">
        <f t="shared" si="44"/>
        <v>0</v>
      </c>
      <c r="AC498" s="123">
        <f t="shared" si="44"/>
        <v>0</v>
      </c>
      <c r="AD498" s="123">
        <f t="shared" si="44"/>
        <v>0</v>
      </c>
      <c r="AE498" s="123">
        <f t="shared" si="44"/>
        <v>0</v>
      </c>
      <c r="AF498" s="123">
        <f t="shared" si="44"/>
        <v>0</v>
      </c>
      <c r="AG498" s="123">
        <f t="shared" si="44"/>
        <v>0</v>
      </c>
      <c r="AH498" s="122">
        <f t="shared" si="45"/>
        <v>0</v>
      </c>
    </row>
    <row r="499" spans="1:34" s="86" customFormat="1" ht="15.75">
      <c r="A499" s="125">
        <v>242</v>
      </c>
      <c r="B499" s="286">
        <f>IFERROR(VLOOKUP(A499,Cargas!$B$3:$I$93,9,FALSE),0)</f>
        <v>0</v>
      </c>
      <c r="C499" s="127" t="s">
        <v>263</v>
      </c>
      <c r="D499" s="271">
        <f t="shared" si="48"/>
        <v>0</v>
      </c>
      <c r="E499" s="268">
        <f t="shared" si="47"/>
        <v>0</v>
      </c>
      <c r="F499" s="266"/>
      <c r="G499" s="266"/>
      <c r="H499" s="266">
        <f>IFERROR( VLOOKUP(A499,Descargas!$B$3:$I$94,3,FALSE),0)</f>
        <v>0</v>
      </c>
      <c r="I499" s="266">
        <f>IFERROR( VLOOKUP(A499,Descargas!$B$3:$I$94,4,FALSE),0)</f>
        <v>0</v>
      </c>
      <c r="J499" s="266">
        <f>IFERROR( VLOOKUP(A499,Descargas!$B$3:$I$94,5,FALSE),0)</f>
        <v>0</v>
      </c>
      <c r="K499" s="266">
        <f>IFERROR( VLOOKUP(A499,Descargas!$B$3:$I$94,6,FALSE),0)</f>
        <v>0</v>
      </c>
      <c r="L499" s="266">
        <f>IFERROR( VLOOKUP(A499,Descargas!$B$3:$I$94,7,FALSE),0)</f>
        <v>0</v>
      </c>
      <c r="AB499" s="123">
        <f t="shared" ref="AB499:AG542" si="49">+G499/G$9</f>
        <v>0</v>
      </c>
      <c r="AC499" s="123">
        <f t="shared" si="49"/>
        <v>0</v>
      </c>
      <c r="AD499" s="123">
        <f t="shared" si="49"/>
        <v>0</v>
      </c>
      <c r="AE499" s="123">
        <f t="shared" si="49"/>
        <v>0</v>
      </c>
      <c r="AF499" s="123">
        <f t="shared" si="49"/>
        <v>0</v>
      </c>
      <c r="AG499" s="123">
        <f t="shared" si="49"/>
        <v>0</v>
      </c>
      <c r="AH499" s="122">
        <f t="shared" si="45"/>
        <v>0</v>
      </c>
    </row>
    <row r="500" spans="1:34" s="86" customFormat="1" ht="15.75">
      <c r="A500" s="125">
        <v>243</v>
      </c>
      <c r="B500" s="286">
        <f>IFERROR(VLOOKUP(A500,Cargas!$B$3:$I$93,9,FALSE),0)</f>
        <v>0</v>
      </c>
      <c r="C500" s="127" t="s">
        <v>207</v>
      </c>
      <c r="D500" s="271">
        <f t="shared" si="48"/>
        <v>0</v>
      </c>
      <c r="E500" s="268">
        <f>+SUM(H500:L500)</f>
        <v>0</v>
      </c>
      <c r="F500" s="266"/>
      <c r="G500" s="266"/>
      <c r="H500" s="266">
        <f>IFERROR( VLOOKUP(A500,Descargas!$B$3:$I$94,3,FALSE),0)</f>
        <v>0</v>
      </c>
      <c r="I500" s="266">
        <f>IFERROR( VLOOKUP(A500,Descargas!$B$3:$I$94,4,FALSE),0)</f>
        <v>0</v>
      </c>
      <c r="J500" s="266">
        <f>IFERROR( VLOOKUP(A500,Descargas!$B$3:$I$94,5,FALSE),0)</f>
        <v>0</v>
      </c>
      <c r="K500" s="266">
        <f>IFERROR( VLOOKUP(A500,Descargas!$B$3:$I$94,6,FALSE),0)</f>
        <v>0</v>
      </c>
      <c r="L500" s="266">
        <f>IFERROR( VLOOKUP(A500,Descargas!$B$3:$I$94,7,FALSE),0)</f>
        <v>0</v>
      </c>
      <c r="AB500" s="123">
        <f t="shared" si="49"/>
        <v>0</v>
      </c>
      <c r="AC500" s="123">
        <f t="shared" si="49"/>
        <v>0</v>
      </c>
      <c r="AD500" s="123">
        <f t="shared" si="49"/>
        <v>0</v>
      </c>
      <c r="AE500" s="123">
        <f t="shared" si="49"/>
        <v>0</v>
      </c>
      <c r="AF500" s="123">
        <f t="shared" si="49"/>
        <v>0</v>
      </c>
      <c r="AG500" s="123">
        <f t="shared" si="49"/>
        <v>0</v>
      </c>
      <c r="AH500" s="122">
        <f t="shared" si="45"/>
        <v>0</v>
      </c>
    </row>
    <row r="501" spans="1:34" ht="15.75">
      <c r="A501" s="125">
        <v>244</v>
      </c>
      <c r="B501" s="286">
        <f>IFERROR(VLOOKUP(A501,Cargas!$B$3:$I$93,9,FALSE),0)</f>
        <v>0</v>
      </c>
      <c r="C501" s="127" t="s">
        <v>208</v>
      </c>
      <c r="D501" s="271">
        <f t="shared" si="48"/>
        <v>0</v>
      </c>
      <c r="E501" s="268">
        <f>+SUM(H501:L501)</f>
        <v>0</v>
      </c>
      <c r="F501" s="266"/>
      <c r="G501" s="266"/>
      <c r="H501" s="266">
        <f>IFERROR( VLOOKUP(A501,Descargas!$B$3:$I$94,3,FALSE),0)</f>
        <v>0</v>
      </c>
      <c r="I501" s="266">
        <f>IFERROR( VLOOKUP(A501,Descargas!$B$3:$I$94,4,FALSE),0)</f>
        <v>0</v>
      </c>
      <c r="J501" s="266">
        <f>IFERROR( VLOOKUP(A501,Descargas!$B$3:$I$94,5,FALSE),0)</f>
        <v>0</v>
      </c>
      <c r="K501" s="266">
        <f>IFERROR( VLOOKUP(A501,Descargas!$B$3:$I$94,6,FALSE),0)</f>
        <v>0</v>
      </c>
      <c r="L501" s="266">
        <f>IFERROR( VLOOKUP(A501,Descargas!$B$3:$I$94,7,FALSE),0)</f>
        <v>0</v>
      </c>
      <c r="AB501" s="123">
        <f t="shared" si="49"/>
        <v>0</v>
      </c>
      <c r="AC501" s="123">
        <f t="shared" si="49"/>
        <v>0</v>
      </c>
      <c r="AD501" s="123">
        <f t="shared" si="49"/>
        <v>0</v>
      </c>
      <c r="AE501" s="123">
        <f t="shared" si="49"/>
        <v>0</v>
      </c>
      <c r="AF501" s="123">
        <f t="shared" si="49"/>
        <v>0</v>
      </c>
      <c r="AG501" s="123">
        <f t="shared" si="49"/>
        <v>0</v>
      </c>
      <c r="AH501" s="122">
        <f t="shared" si="45"/>
        <v>0</v>
      </c>
    </row>
    <row r="502" spans="1:34" s="86" customFormat="1" ht="15.75">
      <c r="A502" s="125">
        <v>245</v>
      </c>
      <c r="B502" s="286">
        <f>IFERROR(VLOOKUP(A502,Cargas!$B$3:$I$93,9,FALSE),0)</f>
        <v>0</v>
      </c>
      <c r="C502" s="127" t="s">
        <v>209</v>
      </c>
      <c r="D502" s="271">
        <f t="shared" si="48"/>
        <v>0</v>
      </c>
      <c r="E502" s="268">
        <f t="shared" si="47"/>
        <v>0</v>
      </c>
      <c r="F502" s="263"/>
      <c r="G502" s="266"/>
      <c r="H502" s="266">
        <f>IFERROR( VLOOKUP(A502,Descargas!$B$3:$I$94,3,FALSE),0)</f>
        <v>0</v>
      </c>
      <c r="I502" s="266">
        <f>IFERROR( VLOOKUP(A502,Descargas!$B$3:$I$94,4,FALSE),0)</f>
        <v>0</v>
      </c>
      <c r="J502" s="266">
        <f>IFERROR( VLOOKUP(A502,Descargas!$B$3:$I$94,5,FALSE),0)</f>
        <v>0</v>
      </c>
      <c r="K502" s="266">
        <f>IFERROR( VLOOKUP(A502,Descargas!$B$3:$I$94,6,FALSE),0)</f>
        <v>0</v>
      </c>
      <c r="L502" s="266">
        <f>IFERROR( VLOOKUP(A502,Descargas!$B$3:$I$94,7,FALSE),0)</f>
        <v>0</v>
      </c>
      <c r="AB502" s="123">
        <f t="shared" si="49"/>
        <v>0</v>
      </c>
      <c r="AC502" s="123">
        <f t="shared" si="49"/>
        <v>0</v>
      </c>
      <c r="AD502" s="123">
        <f t="shared" si="49"/>
        <v>0</v>
      </c>
      <c r="AE502" s="123">
        <f t="shared" si="49"/>
        <v>0</v>
      </c>
      <c r="AF502" s="123">
        <f t="shared" si="49"/>
        <v>0</v>
      </c>
      <c r="AG502" s="123">
        <f t="shared" si="49"/>
        <v>0</v>
      </c>
      <c r="AH502" s="122">
        <f t="shared" si="45"/>
        <v>0</v>
      </c>
    </row>
    <row r="503" spans="1:34" s="86" customFormat="1" ht="15.75">
      <c r="A503" s="125">
        <v>246</v>
      </c>
      <c r="B503" s="286">
        <f>IFERROR(VLOOKUP(A503,Cargas!$B$3:$I$93,9,FALSE),0)</f>
        <v>0</v>
      </c>
      <c r="C503" s="127" t="s">
        <v>210</v>
      </c>
      <c r="D503" s="271">
        <f t="shared" si="48"/>
        <v>0</v>
      </c>
      <c r="E503" s="268">
        <f>+SUM(H503:L503)</f>
        <v>0</v>
      </c>
      <c r="F503" s="263"/>
      <c r="G503" s="266"/>
      <c r="H503" s="266">
        <f>IFERROR( VLOOKUP(A503,Descargas!$B$3:$I$94,3,FALSE),0)</f>
        <v>0</v>
      </c>
      <c r="I503" s="266">
        <f>IFERROR( VLOOKUP(A503,Descargas!$B$3:$I$94,4,FALSE),0)</f>
        <v>0</v>
      </c>
      <c r="J503" s="266">
        <f>IFERROR( VLOOKUP(A503,Descargas!$B$3:$I$94,5,FALSE),0)</f>
        <v>0</v>
      </c>
      <c r="K503" s="266">
        <f>IFERROR( VLOOKUP(A503,Descargas!$B$3:$I$94,6,FALSE),0)</f>
        <v>0</v>
      </c>
      <c r="L503" s="266">
        <f>IFERROR( VLOOKUP(A503,Descargas!$B$3:$I$94,7,FALSE),0)</f>
        <v>0</v>
      </c>
      <c r="AB503" s="123">
        <f t="shared" si="49"/>
        <v>0</v>
      </c>
      <c r="AC503" s="123">
        <f t="shared" si="49"/>
        <v>0</v>
      </c>
      <c r="AD503" s="123">
        <f t="shared" si="49"/>
        <v>0</v>
      </c>
      <c r="AE503" s="123">
        <f t="shared" si="49"/>
        <v>0</v>
      </c>
      <c r="AF503" s="123">
        <f t="shared" si="49"/>
        <v>0</v>
      </c>
      <c r="AG503" s="123">
        <f t="shared" si="49"/>
        <v>0</v>
      </c>
      <c r="AH503" s="122">
        <f t="shared" si="45"/>
        <v>0</v>
      </c>
    </row>
    <row r="504" spans="1:34" ht="15.75">
      <c r="A504" s="125">
        <v>247</v>
      </c>
      <c r="B504" s="286">
        <f>IFERROR(VLOOKUP(A504,Cargas!$B$3:$I$93,9,FALSE),0)</f>
        <v>0</v>
      </c>
      <c r="C504" s="127" t="s">
        <v>256</v>
      </c>
      <c r="D504" s="271">
        <f t="shared" si="48"/>
        <v>0</v>
      </c>
      <c r="E504" s="268">
        <f>+SUM(H504:L504)</f>
        <v>0</v>
      </c>
      <c r="F504" s="263"/>
      <c r="G504" s="266"/>
      <c r="H504" s="266">
        <f>IFERROR( VLOOKUP(A504,Descargas!$B$3:$I$94,3,FALSE),0)</f>
        <v>0</v>
      </c>
      <c r="I504" s="266">
        <f>IFERROR( VLOOKUP(A504,Descargas!$B$3:$I$94,4,FALSE),0)</f>
        <v>0</v>
      </c>
      <c r="J504" s="266">
        <f>IFERROR( VLOOKUP(A504,Descargas!$B$3:$I$94,5,FALSE),0)</f>
        <v>0</v>
      </c>
      <c r="K504" s="266">
        <f>IFERROR( VLOOKUP(A504,Descargas!$B$3:$I$94,6,FALSE),0)</f>
        <v>0</v>
      </c>
      <c r="L504" s="266">
        <f>IFERROR( VLOOKUP(A504,Descargas!$B$3:$I$94,7,FALSE),0)</f>
        <v>0</v>
      </c>
      <c r="AB504" s="123">
        <f t="shared" si="49"/>
        <v>0</v>
      </c>
      <c r="AC504" s="123">
        <f t="shared" si="49"/>
        <v>0</v>
      </c>
      <c r="AD504" s="123">
        <f t="shared" si="49"/>
        <v>0</v>
      </c>
      <c r="AE504" s="123">
        <f t="shared" si="49"/>
        <v>0</v>
      </c>
      <c r="AF504" s="123">
        <f t="shared" si="49"/>
        <v>0</v>
      </c>
      <c r="AG504" s="123">
        <f t="shared" si="49"/>
        <v>0</v>
      </c>
      <c r="AH504" s="122">
        <f t="shared" si="45"/>
        <v>0</v>
      </c>
    </row>
    <row r="505" spans="1:34" s="86" customFormat="1" ht="15.75">
      <c r="A505" s="125">
        <v>248</v>
      </c>
      <c r="B505" s="286">
        <f>IFERROR(VLOOKUP(A505,Cargas!$B$3:$I$93,9,FALSE),0)</f>
        <v>0</v>
      </c>
      <c r="C505" s="127" t="s">
        <v>257</v>
      </c>
      <c r="D505" s="271">
        <f t="shared" si="48"/>
        <v>0</v>
      </c>
      <c r="E505" s="268">
        <f>+SUM(H505:L505)</f>
        <v>0</v>
      </c>
      <c r="F505" s="263"/>
      <c r="G505" s="266"/>
      <c r="H505" s="266">
        <f>IFERROR( VLOOKUP(A505,Descargas!$B$3:$I$94,3,FALSE),0)</f>
        <v>0</v>
      </c>
      <c r="I505" s="266">
        <f>IFERROR( VLOOKUP(A505,Descargas!$B$3:$I$94,4,FALSE),0)</f>
        <v>0</v>
      </c>
      <c r="J505" s="266">
        <f>IFERROR( VLOOKUP(A505,Descargas!$B$3:$I$94,5,FALSE),0)</f>
        <v>0</v>
      </c>
      <c r="K505" s="266">
        <f>IFERROR( VLOOKUP(A505,Descargas!$B$3:$I$94,6,FALSE),0)</f>
        <v>0</v>
      </c>
      <c r="L505" s="266">
        <f>IFERROR( VLOOKUP(A505,Descargas!$B$3:$I$94,7,FALSE),0)</f>
        <v>0</v>
      </c>
      <c r="AB505" s="123">
        <f t="shared" si="49"/>
        <v>0</v>
      </c>
      <c r="AC505" s="123">
        <f t="shared" si="49"/>
        <v>0</v>
      </c>
      <c r="AD505" s="123">
        <f t="shared" si="49"/>
        <v>0</v>
      </c>
      <c r="AE505" s="123">
        <f t="shared" si="49"/>
        <v>0</v>
      </c>
      <c r="AF505" s="123">
        <f t="shared" si="49"/>
        <v>0</v>
      </c>
      <c r="AG505" s="123">
        <f t="shared" si="49"/>
        <v>0</v>
      </c>
      <c r="AH505" s="122">
        <f t="shared" si="45"/>
        <v>0</v>
      </c>
    </row>
    <row r="506" spans="1:34" s="86" customFormat="1" ht="15.75">
      <c r="A506" s="125">
        <v>249</v>
      </c>
      <c r="B506" s="286">
        <f>IFERROR(VLOOKUP(A506,Cargas!$B$3:$I$93,9,FALSE),0)</f>
        <v>0</v>
      </c>
      <c r="C506" s="127" t="s">
        <v>258</v>
      </c>
      <c r="D506" s="271">
        <f t="shared" si="48"/>
        <v>0</v>
      </c>
      <c r="E506" s="268">
        <f t="shared" si="47"/>
        <v>0</v>
      </c>
      <c r="F506" s="263"/>
      <c r="G506" s="266"/>
      <c r="H506" s="266">
        <f>IFERROR( VLOOKUP(A506,Descargas!$B$3:$I$94,3,FALSE),0)</f>
        <v>0</v>
      </c>
      <c r="I506" s="266">
        <f>IFERROR( VLOOKUP(A506,Descargas!$B$3:$I$94,4,FALSE),0)</f>
        <v>0</v>
      </c>
      <c r="J506" s="266">
        <f>IFERROR( VLOOKUP(A506,Descargas!$B$3:$I$94,5,FALSE),0)</f>
        <v>0</v>
      </c>
      <c r="K506" s="266">
        <f>IFERROR( VLOOKUP(A506,Descargas!$B$3:$I$94,6,FALSE),0)</f>
        <v>0</v>
      </c>
      <c r="L506" s="266">
        <f>IFERROR( VLOOKUP(A506,Descargas!$B$3:$I$94,7,FALSE),0)</f>
        <v>0</v>
      </c>
      <c r="AB506" s="123">
        <f t="shared" si="49"/>
        <v>0</v>
      </c>
      <c r="AC506" s="123">
        <f t="shared" si="49"/>
        <v>0</v>
      </c>
      <c r="AD506" s="123">
        <f t="shared" si="49"/>
        <v>0</v>
      </c>
      <c r="AE506" s="123">
        <f t="shared" si="49"/>
        <v>0</v>
      </c>
      <c r="AF506" s="123">
        <f t="shared" si="49"/>
        <v>0</v>
      </c>
      <c r="AG506" s="123">
        <f t="shared" si="49"/>
        <v>0</v>
      </c>
      <c r="AH506" s="122">
        <f t="shared" si="45"/>
        <v>0</v>
      </c>
    </row>
    <row r="507" spans="1:34" ht="15.75">
      <c r="A507" s="125">
        <v>250</v>
      </c>
      <c r="B507" s="286">
        <f>IFERROR(VLOOKUP(A507,Cargas!$B$3:$I$93,9,FALSE),0)</f>
        <v>0</v>
      </c>
      <c r="C507" s="127" t="s">
        <v>259</v>
      </c>
      <c r="D507" s="271">
        <f t="shared" si="48"/>
        <v>0</v>
      </c>
      <c r="E507" s="268">
        <f t="shared" si="47"/>
        <v>0</v>
      </c>
      <c r="F507" s="266"/>
      <c r="G507" s="266"/>
      <c r="H507" s="266">
        <f>IFERROR( VLOOKUP(A507,Descargas!$B$3:$I$94,3,FALSE),0)</f>
        <v>0</v>
      </c>
      <c r="I507" s="266">
        <f>IFERROR( VLOOKUP(A507,Descargas!$B$3:$I$94,4,FALSE),0)</f>
        <v>0</v>
      </c>
      <c r="J507" s="266">
        <f>IFERROR( VLOOKUP(A507,Descargas!$B$3:$I$94,5,FALSE),0)</f>
        <v>0</v>
      </c>
      <c r="K507" s="266">
        <f>IFERROR( VLOOKUP(A507,Descargas!$B$3:$I$94,6,FALSE),0)</f>
        <v>0</v>
      </c>
      <c r="L507" s="266">
        <f>IFERROR( VLOOKUP(A507,Descargas!$B$3:$I$94,7,FALSE),0)</f>
        <v>0</v>
      </c>
      <c r="AB507" s="123">
        <f t="shared" si="49"/>
        <v>0</v>
      </c>
      <c r="AC507" s="123">
        <f t="shared" si="49"/>
        <v>0</v>
      </c>
      <c r="AD507" s="123">
        <f t="shared" si="49"/>
        <v>0</v>
      </c>
      <c r="AE507" s="123">
        <f t="shared" si="49"/>
        <v>0</v>
      </c>
      <c r="AF507" s="123">
        <f t="shared" si="49"/>
        <v>0</v>
      </c>
      <c r="AG507" s="123">
        <f t="shared" si="49"/>
        <v>0</v>
      </c>
      <c r="AH507" s="122">
        <f t="shared" si="45"/>
        <v>0</v>
      </c>
    </row>
    <row r="508" spans="1:34" s="86" customFormat="1" ht="15.75">
      <c r="A508" s="125">
        <v>251</v>
      </c>
      <c r="B508" s="286">
        <f>IFERROR(VLOOKUP(A508,Cargas!$B$3:$I$93,9,FALSE),0)</f>
        <v>0</v>
      </c>
      <c r="C508" s="127">
        <v>251</v>
      </c>
      <c r="D508" s="271">
        <f t="shared" si="48"/>
        <v>0</v>
      </c>
      <c r="E508" s="268">
        <f t="shared" si="47"/>
        <v>0</v>
      </c>
      <c r="F508" s="266"/>
      <c r="G508" s="266"/>
      <c r="H508" s="266">
        <f>IFERROR( VLOOKUP(A508,Descargas!$B$3:$I$94,3,FALSE),0)</f>
        <v>0</v>
      </c>
      <c r="I508" s="266">
        <f>IFERROR( VLOOKUP(A508,Descargas!$B$3:$I$94,4,FALSE),0)</f>
        <v>0</v>
      </c>
      <c r="J508" s="266">
        <f>IFERROR( VLOOKUP(A508,Descargas!$B$3:$I$94,5,FALSE),0)</f>
        <v>0</v>
      </c>
      <c r="K508" s="266">
        <f>IFERROR( VLOOKUP(A508,Descargas!$B$3:$I$94,6,FALSE),0)</f>
        <v>0</v>
      </c>
      <c r="L508" s="266">
        <f>IFERROR( VLOOKUP(A508,Descargas!$B$3:$I$94,7,FALSE),0)</f>
        <v>0</v>
      </c>
      <c r="AB508" s="123">
        <f t="shared" si="49"/>
        <v>0</v>
      </c>
      <c r="AC508" s="123">
        <f t="shared" si="49"/>
        <v>0</v>
      </c>
      <c r="AD508" s="123">
        <f t="shared" si="49"/>
        <v>0</v>
      </c>
      <c r="AE508" s="123">
        <f t="shared" si="49"/>
        <v>0</v>
      </c>
      <c r="AF508" s="123">
        <f t="shared" si="49"/>
        <v>0</v>
      </c>
      <c r="AG508" s="123">
        <f t="shared" si="49"/>
        <v>0</v>
      </c>
      <c r="AH508" s="122">
        <f t="shared" si="45"/>
        <v>0</v>
      </c>
    </row>
    <row r="509" spans="1:34" s="86" customFormat="1" ht="15.75">
      <c r="A509" s="125">
        <v>252</v>
      </c>
      <c r="B509" s="286">
        <f>IFERROR(VLOOKUP(A509,Cargas!$B$3:$I$93,9,FALSE),0)</f>
        <v>0</v>
      </c>
      <c r="C509" s="127" t="s">
        <v>212</v>
      </c>
      <c r="D509" s="271">
        <f t="shared" si="48"/>
        <v>0</v>
      </c>
      <c r="E509" s="268">
        <f t="shared" si="47"/>
        <v>0</v>
      </c>
      <c r="F509" s="263"/>
      <c r="G509" s="266"/>
      <c r="H509" s="266">
        <f>IFERROR( VLOOKUP(A509,Descargas!$B$3:$I$94,3,FALSE),0)</f>
        <v>0</v>
      </c>
      <c r="I509" s="266">
        <f>IFERROR( VLOOKUP(A509,Descargas!$B$3:$I$94,4,FALSE),0)</f>
        <v>0</v>
      </c>
      <c r="J509" s="266">
        <f>IFERROR( VLOOKUP(A509,Descargas!$B$3:$I$94,5,FALSE),0)</f>
        <v>0</v>
      </c>
      <c r="K509" s="266">
        <f>IFERROR( VLOOKUP(A509,Descargas!$B$3:$I$94,6,FALSE),0)</f>
        <v>0</v>
      </c>
      <c r="L509" s="266">
        <f>IFERROR( VLOOKUP(A509,Descargas!$B$3:$I$94,7,FALSE),0)</f>
        <v>0</v>
      </c>
      <c r="AB509" s="123">
        <f t="shared" si="49"/>
        <v>0</v>
      </c>
      <c r="AC509" s="123">
        <f t="shared" si="49"/>
        <v>0</v>
      </c>
      <c r="AD509" s="123">
        <f t="shared" si="49"/>
        <v>0</v>
      </c>
      <c r="AE509" s="123">
        <f t="shared" si="49"/>
        <v>0</v>
      </c>
      <c r="AF509" s="123">
        <f t="shared" si="49"/>
        <v>0</v>
      </c>
      <c r="AG509" s="123">
        <f t="shared" si="49"/>
        <v>0</v>
      </c>
      <c r="AH509" s="122">
        <f t="shared" si="45"/>
        <v>0</v>
      </c>
    </row>
    <row r="510" spans="1:34" ht="15.75">
      <c r="A510" s="125">
        <v>253</v>
      </c>
      <c r="B510" s="286">
        <f>IFERROR(VLOOKUP(A510,Cargas!$B$3:$I$93,9,FALSE),0)</f>
        <v>0</v>
      </c>
      <c r="C510" s="127" t="s">
        <v>213</v>
      </c>
      <c r="D510" s="271">
        <f t="shared" si="48"/>
        <v>0</v>
      </c>
      <c r="E510" s="268">
        <f t="shared" si="47"/>
        <v>0</v>
      </c>
      <c r="F510" s="266"/>
      <c r="G510" s="266"/>
      <c r="H510" s="266">
        <f>IFERROR( VLOOKUP(A510,Descargas!$B$3:$I$94,3,FALSE),0)</f>
        <v>0</v>
      </c>
      <c r="I510" s="266">
        <f>IFERROR( VLOOKUP(A510,Descargas!$B$3:$I$94,4,FALSE),0)</f>
        <v>0</v>
      </c>
      <c r="J510" s="266">
        <f>IFERROR( VLOOKUP(A510,Descargas!$B$3:$I$94,5,FALSE),0)</f>
        <v>0</v>
      </c>
      <c r="K510" s="266">
        <f>IFERROR( VLOOKUP(A510,Descargas!$B$3:$I$94,6,FALSE),0)</f>
        <v>0</v>
      </c>
      <c r="L510" s="266">
        <f>IFERROR( VLOOKUP(A510,Descargas!$B$3:$I$94,7,FALSE),0)</f>
        <v>0</v>
      </c>
      <c r="AB510" s="123">
        <f t="shared" si="49"/>
        <v>0</v>
      </c>
      <c r="AC510" s="123">
        <f t="shared" si="49"/>
        <v>0</v>
      </c>
      <c r="AD510" s="123">
        <f t="shared" si="49"/>
        <v>0</v>
      </c>
      <c r="AE510" s="123">
        <f t="shared" si="49"/>
        <v>0</v>
      </c>
      <c r="AF510" s="123">
        <f t="shared" si="49"/>
        <v>0</v>
      </c>
      <c r="AG510" s="123">
        <f t="shared" si="49"/>
        <v>0</v>
      </c>
      <c r="AH510" s="122">
        <f t="shared" si="45"/>
        <v>0</v>
      </c>
    </row>
    <row r="511" spans="1:34" s="86" customFormat="1" ht="15.75">
      <c r="A511" s="125">
        <v>254</v>
      </c>
      <c r="B511" s="286">
        <f>IFERROR(VLOOKUP(A511,Cargas!$B$3:$I$93,9,FALSE),0)</f>
        <v>0</v>
      </c>
      <c r="C511" s="127" t="s">
        <v>214</v>
      </c>
      <c r="D511" s="271">
        <f t="shared" si="48"/>
        <v>0</v>
      </c>
      <c r="E511" s="268">
        <f t="shared" si="47"/>
        <v>0</v>
      </c>
      <c r="F511" s="266"/>
      <c r="G511" s="266"/>
      <c r="H511" s="266">
        <f>IFERROR( VLOOKUP(A511,Descargas!$B$3:$I$94,3,FALSE),0)</f>
        <v>0</v>
      </c>
      <c r="I511" s="266">
        <f>IFERROR( VLOOKUP(A511,Descargas!$B$3:$I$94,4,FALSE),0)</f>
        <v>0</v>
      </c>
      <c r="J511" s="266">
        <f>IFERROR( VLOOKUP(A511,Descargas!$B$3:$I$94,5,FALSE),0)</f>
        <v>0</v>
      </c>
      <c r="K511" s="266">
        <f>IFERROR( VLOOKUP(A511,Descargas!$B$3:$I$94,6,FALSE),0)</f>
        <v>0</v>
      </c>
      <c r="L511" s="266">
        <f>IFERROR( VLOOKUP(A511,Descargas!$B$3:$I$94,7,FALSE),0)</f>
        <v>0</v>
      </c>
      <c r="AB511" s="123">
        <f t="shared" si="49"/>
        <v>0</v>
      </c>
      <c r="AC511" s="123">
        <f t="shared" si="49"/>
        <v>0</v>
      </c>
      <c r="AD511" s="123">
        <f t="shared" si="49"/>
        <v>0</v>
      </c>
      <c r="AE511" s="123">
        <f t="shared" si="49"/>
        <v>0</v>
      </c>
      <c r="AF511" s="123">
        <f t="shared" si="49"/>
        <v>0</v>
      </c>
      <c r="AG511" s="123">
        <f t="shared" si="49"/>
        <v>0</v>
      </c>
      <c r="AH511" s="122">
        <f t="shared" si="45"/>
        <v>0</v>
      </c>
    </row>
    <row r="512" spans="1:34" s="86" customFormat="1" ht="15.75">
      <c r="A512" s="125">
        <v>255</v>
      </c>
      <c r="B512" s="286">
        <f>IFERROR(VLOOKUP(A512,Cargas!$B$3:$I$93,9,FALSE),0)</f>
        <v>0</v>
      </c>
      <c r="C512" s="127" t="s">
        <v>215</v>
      </c>
      <c r="D512" s="271">
        <f t="shared" si="48"/>
        <v>0</v>
      </c>
      <c r="E512" s="268">
        <f t="shared" si="47"/>
        <v>0</v>
      </c>
      <c r="F512" s="266"/>
      <c r="G512" s="266"/>
      <c r="H512" s="266">
        <f>IFERROR( VLOOKUP(A512,Descargas!$B$3:$I$94,3,FALSE),0)</f>
        <v>0</v>
      </c>
      <c r="I512" s="266">
        <f>IFERROR( VLOOKUP(A512,Descargas!$B$3:$I$94,4,FALSE),0)</f>
        <v>0</v>
      </c>
      <c r="J512" s="266">
        <f>IFERROR( VLOOKUP(A512,Descargas!$B$3:$I$94,5,FALSE),0)</f>
        <v>0</v>
      </c>
      <c r="K512" s="266">
        <f>IFERROR( VLOOKUP(A512,Descargas!$B$3:$I$94,6,FALSE),0)</f>
        <v>0</v>
      </c>
      <c r="L512" s="266">
        <f>IFERROR( VLOOKUP(A512,Descargas!$B$3:$I$94,7,FALSE),0)</f>
        <v>0</v>
      </c>
      <c r="AB512" s="123">
        <f t="shared" si="49"/>
        <v>0</v>
      </c>
      <c r="AC512" s="123">
        <f t="shared" si="49"/>
        <v>0</v>
      </c>
      <c r="AD512" s="123">
        <f t="shared" si="49"/>
        <v>0</v>
      </c>
      <c r="AE512" s="123">
        <f t="shared" si="49"/>
        <v>0</v>
      </c>
      <c r="AF512" s="123">
        <f t="shared" si="49"/>
        <v>0</v>
      </c>
      <c r="AG512" s="123">
        <f t="shared" si="49"/>
        <v>0</v>
      </c>
      <c r="AH512" s="122">
        <f t="shared" si="45"/>
        <v>0</v>
      </c>
    </row>
    <row r="513" spans="1:34" ht="15.75">
      <c r="A513" s="125">
        <v>256</v>
      </c>
      <c r="B513" s="286">
        <f>IFERROR(VLOOKUP(A513,Cargas!$B$3:$I$93,9,FALSE),0)</f>
        <v>0</v>
      </c>
      <c r="C513" s="127" t="s">
        <v>216</v>
      </c>
      <c r="D513" s="271">
        <f t="shared" si="48"/>
        <v>0</v>
      </c>
      <c r="E513" s="268">
        <f t="shared" si="47"/>
        <v>0</v>
      </c>
      <c r="F513" s="266"/>
      <c r="G513" s="266"/>
      <c r="H513" s="266">
        <f>IFERROR( VLOOKUP(A513,Descargas!$B$3:$I$94,3,FALSE),0)</f>
        <v>0</v>
      </c>
      <c r="I513" s="266">
        <f>IFERROR( VLOOKUP(A513,Descargas!$B$3:$I$94,4,FALSE),0)</f>
        <v>0</v>
      </c>
      <c r="J513" s="266">
        <f>IFERROR( VLOOKUP(A513,Descargas!$B$3:$I$94,5,FALSE),0)</f>
        <v>0</v>
      </c>
      <c r="K513" s="266">
        <f>IFERROR( VLOOKUP(A513,Descargas!$B$3:$I$94,6,FALSE),0)</f>
        <v>0</v>
      </c>
      <c r="L513" s="266">
        <f>IFERROR( VLOOKUP(A513,Descargas!$B$3:$I$94,7,FALSE),0)</f>
        <v>0</v>
      </c>
      <c r="AB513" s="123">
        <f t="shared" si="49"/>
        <v>0</v>
      </c>
      <c r="AC513" s="123">
        <f t="shared" si="49"/>
        <v>0</v>
      </c>
      <c r="AD513" s="123">
        <f t="shared" si="49"/>
        <v>0</v>
      </c>
      <c r="AE513" s="123">
        <f t="shared" si="49"/>
        <v>0</v>
      </c>
      <c r="AF513" s="123">
        <f t="shared" si="49"/>
        <v>0</v>
      </c>
      <c r="AG513" s="123">
        <f t="shared" si="49"/>
        <v>0</v>
      </c>
      <c r="AH513" s="122">
        <f t="shared" si="45"/>
        <v>0</v>
      </c>
    </row>
    <row r="514" spans="1:34" s="86" customFormat="1" ht="15.75">
      <c r="A514" s="125">
        <v>257</v>
      </c>
      <c r="B514" s="286">
        <f>IFERROR(VLOOKUP(A514,Cargas!$B$3:$I$93,9,FALSE),0)</f>
        <v>0</v>
      </c>
      <c r="C514" s="127" t="s">
        <v>217</v>
      </c>
      <c r="D514" s="271">
        <f t="shared" si="48"/>
        <v>0</v>
      </c>
      <c r="E514" s="268">
        <f t="shared" si="47"/>
        <v>0</v>
      </c>
      <c r="F514" s="266"/>
      <c r="G514" s="266"/>
      <c r="H514" s="266">
        <f>IFERROR( VLOOKUP(A514,Descargas!$B$3:$I$94,3,FALSE),0)</f>
        <v>0</v>
      </c>
      <c r="I514" s="266">
        <f>IFERROR( VLOOKUP(A514,Descargas!$B$3:$I$94,4,FALSE),0)</f>
        <v>0</v>
      </c>
      <c r="J514" s="266">
        <f>IFERROR( VLOOKUP(A514,Descargas!$B$3:$I$94,5,FALSE),0)</f>
        <v>0</v>
      </c>
      <c r="K514" s="266">
        <f>IFERROR( VLOOKUP(A514,Descargas!$B$3:$I$94,6,FALSE),0)</f>
        <v>0</v>
      </c>
      <c r="L514" s="266">
        <f>IFERROR( VLOOKUP(A514,Descargas!$B$3:$I$94,7,FALSE),0)</f>
        <v>0</v>
      </c>
      <c r="AB514" s="123">
        <f t="shared" si="49"/>
        <v>0</v>
      </c>
      <c r="AC514" s="123">
        <f t="shared" si="49"/>
        <v>0</v>
      </c>
      <c r="AD514" s="123">
        <f t="shared" si="49"/>
        <v>0</v>
      </c>
      <c r="AE514" s="123">
        <f t="shared" si="49"/>
        <v>0</v>
      </c>
      <c r="AF514" s="123">
        <f t="shared" si="49"/>
        <v>0</v>
      </c>
      <c r="AG514" s="123">
        <f t="shared" si="49"/>
        <v>0</v>
      </c>
      <c r="AH514" s="122">
        <f t="shared" si="45"/>
        <v>0</v>
      </c>
    </row>
    <row r="515" spans="1:34" s="86" customFormat="1" ht="15.75">
      <c r="A515" s="125">
        <v>258</v>
      </c>
      <c r="B515" s="286">
        <f>IFERROR(VLOOKUP(A515,Cargas!$B$3:$I$93,9,FALSE),0)</f>
        <v>0</v>
      </c>
      <c r="C515" s="127" t="s">
        <v>218</v>
      </c>
      <c r="D515" s="271">
        <f t="shared" si="48"/>
        <v>0</v>
      </c>
      <c r="E515" s="268">
        <f t="shared" si="47"/>
        <v>0</v>
      </c>
      <c r="F515" s="266"/>
      <c r="G515" s="266"/>
      <c r="H515" s="266">
        <f>IFERROR( VLOOKUP(A515,Descargas!$B$3:$I$94,3,FALSE),0)</f>
        <v>0</v>
      </c>
      <c r="I515" s="266">
        <f>IFERROR( VLOOKUP(A515,Descargas!$B$3:$I$94,4,FALSE),0)</f>
        <v>0</v>
      </c>
      <c r="J515" s="266">
        <f>IFERROR( VLOOKUP(A515,Descargas!$B$3:$I$94,5,FALSE),0)</f>
        <v>0</v>
      </c>
      <c r="K515" s="266">
        <f>IFERROR( VLOOKUP(A515,Descargas!$B$3:$I$94,6,FALSE),0)</f>
        <v>0</v>
      </c>
      <c r="L515" s="266">
        <f>IFERROR( VLOOKUP(A515,Descargas!$B$3:$I$94,7,FALSE),0)</f>
        <v>0</v>
      </c>
      <c r="AB515" s="123">
        <f t="shared" si="49"/>
        <v>0</v>
      </c>
      <c r="AC515" s="123">
        <f t="shared" si="49"/>
        <v>0</v>
      </c>
      <c r="AD515" s="123">
        <f t="shared" si="49"/>
        <v>0</v>
      </c>
      <c r="AE515" s="123">
        <f t="shared" si="49"/>
        <v>0</v>
      </c>
      <c r="AF515" s="123">
        <f t="shared" si="49"/>
        <v>0</v>
      </c>
      <c r="AG515" s="123">
        <f t="shared" si="49"/>
        <v>0</v>
      </c>
      <c r="AH515" s="122">
        <f t="shared" si="45"/>
        <v>0</v>
      </c>
    </row>
    <row r="516" spans="1:34" ht="15.75">
      <c r="A516" s="125">
        <v>259</v>
      </c>
      <c r="B516" s="286">
        <f>IFERROR(VLOOKUP(A516,Cargas!$B$3:$I$93,9,FALSE),0)</f>
        <v>0</v>
      </c>
      <c r="C516" s="127" t="s">
        <v>219</v>
      </c>
      <c r="D516" s="271">
        <f t="shared" si="48"/>
        <v>0</v>
      </c>
      <c r="E516" s="268">
        <f>+SUM(H516:L516)</f>
        <v>0</v>
      </c>
      <c r="F516" s="263"/>
      <c r="G516" s="266"/>
      <c r="H516" s="266">
        <f>IFERROR( VLOOKUP(A516,Descargas!$B$3:$I$94,3,FALSE),0)</f>
        <v>0</v>
      </c>
      <c r="I516" s="266">
        <f>IFERROR( VLOOKUP(A516,Descargas!$B$3:$I$94,4,FALSE),0)</f>
        <v>0</v>
      </c>
      <c r="J516" s="266">
        <f>IFERROR( VLOOKUP(A516,Descargas!$B$3:$I$94,5,FALSE),0)</f>
        <v>0</v>
      </c>
      <c r="K516" s="266">
        <f>IFERROR( VLOOKUP(A516,Descargas!$B$3:$I$94,6,FALSE),0)</f>
        <v>0</v>
      </c>
      <c r="L516" s="266">
        <f>IFERROR( VLOOKUP(A516,Descargas!$B$3:$I$94,7,FALSE),0)</f>
        <v>0</v>
      </c>
      <c r="AB516" s="123">
        <f t="shared" si="49"/>
        <v>0</v>
      </c>
      <c r="AC516" s="123">
        <f t="shared" si="49"/>
        <v>0</v>
      </c>
      <c r="AD516" s="123">
        <f t="shared" si="49"/>
        <v>0</v>
      </c>
      <c r="AE516" s="123">
        <f t="shared" si="49"/>
        <v>0</v>
      </c>
      <c r="AF516" s="123">
        <f t="shared" si="49"/>
        <v>0</v>
      </c>
      <c r="AG516" s="123">
        <f t="shared" si="49"/>
        <v>0</v>
      </c>
      <c r="AH516" s="122">
        <f t="shared" si="45"/>
        <v>0</v>
      </c>
    </row>
    <row r="517" spans="1:34" s="86" customFormat="1" ht="15.75">
      <c r="A517" s="125">
        <v>260</v>
      </c>
      <c r="B517" s="286">
        <f>IFERROR(VLOOKUP(A517,Cargas!$B$3:$I$93,9,FALSE),0)</f>
        <v>0</v>
      </c>
      <c r="C517" s="127" t="s">
        <v>220</v>
      </c>
      <c r="D517" s="271">
        <f t="shared" si="48"/>
        <v>0</v>
      </c>
      <c r="E517" s="268">
        <f>+SUM(H517:L517)</f>
        <v>0</v>
      </c>
      <c r="F517" s="266"/>
      <c r="G517" s="266"/>
      <c r="H517" s="266">
        <f>IFERROR( VLOOKUP(A517,Descargas!$B$3:$I$94,3,FALSE),0)</f>
        <v>0</v>
      </c>
      <c r="I517" s="266">
        <f>IFERROR( VLOOKUP(A517,Descargas!$B$3:$I$94,4,FALSE),0)</f>
        <v>0</v>
      </c>
      <c r="J517" s="266">
        <f>IFERROR( VLOOKUP(A517,Descargas!$B$3:$I$94,5,FALSE),0)</f>
        <v>0</v>
      </c>
      <c r="K517" s="266">
        <f>IFERROR( VLOOKUP(A517,Descargas!$B$3:$I$94,6,FALSE),0)</f>
        <v>0</v>
      </c>
      <c r="L517" s="266">
        <f>IFERROR( VLOOKUP(A517,Descargas!$B$3:$I$94,7,FALSE),0)</f>
        <v>0</v>
      </c>
      <c r="AB517" s="123">
        <f t="shared" si="49"/>
        <v>0</v>
      </c>
      <c r="AC517" s="123">
        <f t="shared" si="49"/>
        <v>0</v>
      </c>
      <c r="AD517" s="123">
        <f t="shared" si="49"/>
        <v>0</v>
      </c>
      <c r="AE517" s="123">
        <f t="shared" si="49"/>
        <v>0</v>
      </c>
      <c r="AF517" s="123">
        <f t="shared" si="49"/>
        <v>0</v>
      </c>
      <c r="AG517" s="123">
        <f t="shared" si="49"/>
        <v>0</v>
      </c>
      <c r="AH517" s="122">
        <f t="shared" si="45"/>
        <v>0</v>
      </c>
    </row>
    <row r="518" spans="1:34" s="86" customFormat="1" ht="15.75">
      <c r="A518" s="125">
        <v>261</v>
      </c>
      <c r="B518" s="286">
        <f>IFERROR(VLOOKUP(A518,Cargas!$B$3:$I$93,9,FALSE),0)</f>
        <v>0</v>
      </c>
      <c r="C518" s="127" t="s">
        <v>221</v>
      </c>
      <c r="D518" s="271">
        <f t="shared" si="48"/>
        <v>0</v>
      </c>
      <c r="E518" s="268">
        <f>+SUM(H518:L518)</f>
        <v>0</v>
      </c>
      <c r="F518" s="266"/>
      <c r="G518" s="266"/>
      <c r="H518" s="266">
        <f>IFERROR( VLOOKUP(A518,Descargas!$B$3:$I$94,3,FALSE),0)</f>
        <v>0</v>
      </c>
      <c r="I518" s="266">
        <f>IFERROR( VLOOKUP(A518,Descargas!$B$3:$I$94,4,FALSE),0)</f>
        <v>0</v>
      </c>
      <c r="J518" s="266">
        <f>IFERROR( VLOOKUP(A518,Descargas!$B$3:$I$94,5,FALSE),0)</f>
        <v>0</v>
      </c>
      <c r="K518" s="266">
        <f>IFERROR( VLOOKUP(A518,Descargas!$B$3:$I$94,6,FALSE),0)</f>
        <v>0</v>
      </c>
      <c r="L518" s="266">
        <f>IFERROR( VLOOKUP(A518,Descargas!$B$3:$I$94,7,FALSE),0)</f>
        <v>0</v>
      </c>
      <c r="AB518" s="123">
        <f t="shared" si="49"/>
        <v>0</v>
      </c>
      <c r="AC518" s="123">
        <f t="shared" si="49"/>
        <v>0</v>
      </c>
      <c r="AD518" s="123">
        <f t="shared" si="49"/>
        <v>0</v>
      </c>
      <c r="AE518" s="123">
        <f t="shared" si="49"/>
        <v>0</v>
      </c>
      <c r="AF518" s="123">
        <f t="shared" si="49"/>
        <v>0</v>
      </c>
      <c r="AG518" s="123">
        <f t="shared" si="49"/>
        <v>0</v>
      </c>
      <c r="AH518" s="122">
        <f t="shared" si="45"/>
        <v>0</v>
      </c>
    </row>
    <row r="519" spans="1:34" ht="15.75">
      <c r="A519" s="125">
        <v>262</v>
      </c>
      <c r="B519" s="286">
        <f>IFERROR(VLOOKUP(A519,Cargas!$B$3:$I$93,9,FALSE),0)</f>
        <v>0</v>
      </c>
      <c r="C519" s="127" t="s">
        <v>222</v>
      </c>
      <c r="D519" s="271">
        <f t="shared" si="48"/>
        <v>0</v>
      </c>
      <c r="E519" s="268">
        <f>+SUM(H519:L519)</f>
        <v>0</v>
      </c>
      <c r="F519" s="266"/>
      <c r="G519" s="266"/>
      <c r="H519" s="266">
        <f>IFERROR( VLOOKUP(A519,Descargas!$B$3:$I$94,3,FALSE),0)</f>
        <v>0</v>
      </c>
      <c r="I519" s="266">
        <f>IFERROR( VLOOKUP(A519,Descargas!$B$3:$I$94,4,FALSE),0)</f>
        <v>0</v>
      </c>
      <c r="J519" s="266">
        <f>IFERROR( VLOOKUP(A519,Descargas!$B$3:$I$94,5,FALSE),0)</f>
        <v>0</v>
      </c>
      <c r="K519" s="266">
        <f>IFERROR( VLOOKUP(A519,Descargas!$B$3:$I$94,6,FALSE),0)</f>
        <v>0</v>
      </c>
      <c r="L519" s="266">
        <f>IFERROR( VLOOKUP(A519,Descargas!$B$3:$I$94,7,FALSE),0)</f>
        <v>0</v>
      </c>
      <c r="AB519" s="123">
        <f t="shared" si="49"/>
        <v>0</v>
      </c>
      <c r="AC519" s="123">
        <f t="shared" si="49"/>
        <v>0</v>
      </c>
      <c r="AD519" s="123">
        <f t="shared" si="49"/>
        <v>0</v>
      </c>
      <c r="AE519" s="123">
        <f t="shared" si="49"/>
        <v>0</v>
      </c>
      <c r="AF519" s="123">
        <f t="shared" si="49"/>
        <v>0</v>
      </c>
      <c r="AG519" s="123">
        <f t="shared" si="49"/>
        <v>0</v>
      </c>
      <c r="AH519" s="122">
        <f t="shared" si="45"/>
        <v>0</v>
      </c>
    </row>
    <row r="520" spans="1:34" s="86" customFormat="1" ht="15.75">
      <c r="A520" s="125">
        <v>263</v>
      </c>
      <c r="B520" s="286">
        <f>IFERROR(VLOOKUP(A520,Cargas!$B$3:$I$93,9,FALSE),0)</f>
        <v>0</v>
      </c>
      <c r="C520" s="127" t="s">
        <v>264</v>
      </c>
      <c r="D520" s="271">
        <f t="shared" si="48"/>
        <v>0</v>
      </c>
      <c r="E520" s="268">
        <f>+SUM(H520:L520)</f>
        <v>0</v>
      </c>
      <c r="F520" s="266"/>
      <c r="G520" s="266"/>
      <c r="H520" s="266">
        <f>IFERROR( VLOOKUP(A520,Descargas!$B$3:$I$94,3,FALSE),0)</f>
        <v>0</v>
      </c>
      <c r="I520" s="266">
        <f>IFERROR( VLOOKUP(A520,Descargas!$B$3:$I$94,4,FALSE),0)</f>
        <v>0</v>
      </c>
      <c r="J520" s="266">
        <f>IFERROR( VLOOKUP(A520,Descargas!$B$3:$I$94,5,FALSE),0)</f>
        <v>0</v>
      </c>
      <c r="K520" s="266">
        <f>IFERROR( VLOOKUP(A520,Descargas!$B$3:$I$94,6,FALSE),0)</f>
        <v>0</v>
      </c>
      <c r="L520" s="266">
        <f>IFERROR( VLOOKUP(A520,Descargas!$B$3:$I$94,7,FALSE),0)</f>
        <v>0</v>
      </c>
      <c r="AB520" s="123">
        <f t="shared" si="49"/>
        <v>0</v>
      </c>
      <c r="AC520" s="123">
        <f t="shared" si="49"/>
        <v>0</v>
      </c>
      <c r="AD520" s="123">
        <f t="shared" si="49"/>
        <v>0</v>
      </c>
      <c r="AE520" s="123">
        <f t="shared" si="49"/>
        <v>0</v>
      </c>
      <c r="AF520" s="123">
        <f t="shared" si="49"/>
        <v>0</v>
      </c>
      <c r="AG520" s="123">
        <f t="shared" si="49"/>
        <v>0</v>
      </c>
      <c r="AH520" s="122">
        <f t="shared" si="45"/>
        <v>0</v>
      </c>
    </row>
    <row r="521" spans="1:34" s="86" customFormat="1" ht="15.75">
      <c r="A521" s="125">
        <v>264</v>
      </c>
      <c r="B521" s="286">
        <f>IFERROR(VLOOKUP(A521,Cargas!$B$3:$I$93,9,FALSE),0)</f>
        <v>0</v>
      </c>
      <c r="C521" s="127" t="s">
        <v>265</v>
      </c>
      <c r="D521" s="271">
        <f t="shared" si="48"/>
        <v>0</v>
      </c>
      <c r="E521" s="268">
        <f t="shared" ref="E521:E544" si="50">+SUM(H521:L521)</f>
        <v>0</v>
      </c>
      <c r="F521" s="266"/>
      <c r="G521" s="266"/>
      <c r="H521" s="266">
        <f>IFERROR( VLOOKUP(A521,Descargas!$B$3:$I$94,3,FALSE),0)</f>
        <v>0</v>
      </c>
      <c r="I521" s="266">
        <f>IFERROR( VLOOKUP(A521,Descargas!$B$3:$I$94,4,FALSE),0)</f>
        <v>0</v>
      </c>
      <c r="J521" s="266">
        <f>IFERROR( VLOOKUP(A521,Descargas!$B$3:$I$94,5,FALSE),0)</f>
        <v>0</v>
      </c>
      <c r="K521" s="266">
        <f>IFERROR( VLOOKUP(A521,Descargas!$B$3:$I$94,6,FALSE),0)</f>
        <v>0</v>
      </c>
      <c r="L521" s="266">
        <f>IFERROR( VLOOKUP(A521,Descargas!$B$3:$I$94,7,FALSE),0)</f>
        <v>0</v>
      </c>
      <c r="AB521" s="123">
        <f t="shared" si="49"/>
        <v>0</v>
      </c>
      <c r="AC521" s="123">
        <f t="shared" si="49"/>
        <v>0</v>
      </c>
      <c r="AD521" s="123">
        <f t="shared" si="49"/>
        <v>0</v>
      </c>
      <c r="AE521" s="123">
        <f t="shared" si="49"/>
        <v>0</v>
      </c>
      <c r="AF521" s="123">
        <f t="shared" si="49"/>
        <v>0</v>
      </c>
      <c r="AG521" s="123">
        <f t="shared" si="49"/>
        <v>0</v>
      </c>
      <c r="AH521" s="122">
        <f t="shared" si="45"/>
        <v>0</v>
      </c>
    </row>
    <row r="522" spans="1:34" ht="15.75">
      <c r="A522" s="125">
        <v>265</v>
      </c>
      <c r="B522" s="286">
        <f>IFERROR(VLOOKUP(A522,Cargas!$B$3:$I$93,9,FALSE),0)</f>
        <v>0</v>
      </c>
      <c r="C522" s="127" t="s">
        <v>266</v>
      </c>
      <c r="D522" s="271">
        <f t="shared" si="48"/>
        <v>0</v>
      </c>
      <c r="E522" s="268">
        <f t="shared" si="50"/>
        <v>0</v>
      </c>
      <c r="F522" s="266"/>
      <c r="G522" s="266"/>
      <c r="H522" s="266">
        <f>IFERROR( VLOOKUP(A522,Descargas!$B$3:$I$94,3,FALSE),0)</f>
        <v>0</v>
      </c>
      <c r="I522" s="266">
        <f>IFERROR( VLOOKUP(A522,Descargas!$B$3:$I$94,4,FALSE),0)</f>
        <v>0</v>
      </c>
      <c r="J522" s="266">
        <f>IFERROR( VLOOKUP(A522,Descargas!$B$3:$I$94,5,FALSE),0)</f>
        <v>0</v>
      </c>
      <c r="K522" s="266">
        <f>IFERROR( VLOOKUP(A522,Descargas!$B$3:$I$94,6,FALSE),0)</f>
        <v>0</v>
      </c>
      <c r="L522" s="266">
        <f>IFERROR( VLOOKUP(A522,Descargas!$B$3:$I$94,7,FALSE),0)</f>
        <v>0</v>
      </c>
      <c r="AB522" s="123">
        <f t="shared" si="49"/>
        <v>0</v>
      </c>
      <c r="AC522" s="123">
        <f t="shared" si="49"/>
        <v>0</v>
      </c>
      <c r="AD522" s="123">
        <f t="shared" si="49"/>
        <v>0</v>
      </c>
      <c r="AE522" s="123">
        <f t="shared" si="49"/>
        <v>0</v>
      </c>
      <c r="AF522" s="123">
        <f t="shared" si="49"/>
        <v>0</v>
      </c>
      <c r="AG522" s="123">
        <f t="shared" si="49"/>
        <v>0</v>
      </c>
      <c r="AH522" s="122">
        <f t="shared" si="45"/>
        <v>0</v>
      </c>
    </row>
    <row r="523" spans="1:34" s="86" customFormat="1" ht="15.75">
      <c r="A523" s="125">
        <v>266</v>
      </c>
      <c r="B523" s="286">
        <f>IFERROR(VLOOKUP(A523,Cargas!$B$3:$I$93,9,FALSE),0)</f>
        <v>0</v>
      </c>
      <c r="C523" s="127" t="s">
        <v>267</v>
      </c>
      <c r="D523" s="271">
        <f t="shared" si="48"/>
        <v>0</v>
      </c>
      <c r="E523" s="268">
        <f t="shared" si="50"/>
        <v>0</v>
      </c>
      <c r="F523" s="266"/>
      <c r="G523" s="266"/>
      <c r="H523" s="266">
        <f>IFERROR( VLOOKUP(A523,Descargas!$B$3:$I$94,3,FALSE),0)</f>
        <v>0</v>
      </c>
      <c r="I523" s="266">
        <f>IFERROR( VLOOKUP(A523,Descargas!$B$3:$I$94,4,FALSE),0)</f>
        <v>0</v>
      </c>
      <c r="J523" s="266">
        <f>IFERROR( VLOOKUP(A523,Descargas!$B$3:$I$94,5,FALSE),0)</f>
        <v>0</v>
      </c>
      <c r="K523" s="266">
        <f>IFERROR( VLOOKUP(A523,Descargas!$B$3:$I$94,6,FALSE),0)</f>
        <v>0</v>
      </c>
      <c r="L523" s="266">
        <f>IFERROR( VLOOKUP(A523,Descargas!$B$3:$I$94,7,FALSE),0)</f>
        <v>0</v>
      </c>
      <c r="AB523" s="123">
        <f t="shared" si="49"/>
        <v>0</v>
      </c>
      <c r="AC523" s="123">
        <f t="shared" si="49"/>
        <v>0</v>
      </c>
      <c r="AD523" s="123">
        <f t="shared" si="49"/>
        <v>0</v>
      </c>
      <c r="AE523" s="123">
        <f t="shared" si="49"/>
        <v>0</v>
      </c>
      <c r="AF523" s="123">
        <f t="shared" si="49"/>
        <v>0</v>
      </c>
      <c r="AG523" s="123">
        <f t="shared" si="49"/>
        <v>0</v>
      </c>
      <c r="AH523" s="122">
        <f t="shared" si="45"/>
        <v>0</v>
      </c>
    </row>
    <row r="524" spans="1:34" s="86" customFormat="1" ht="15.75">
      <c r="A524" s="125">
        <v>267</v>
      </c>
      <c r="B524" s="286">
        <f>IFERROR(VLOOKUP(A524,Cargas!$B$3:$I$93,9,FALSE),0)</f>
        <v>0</v>
      </c>
      <c r="C524" s="127" t="s">
        <v>268</v>
      </c>
      <c r="D524" s="271">
        <f t="shared" si="48"/>
        <v>0</v>
      </c>
      <c r="E524" s="268">
        <f t="shared" si="50"/>
        <v>0</v>
      </c>
      <c r="F524" s="266"/>
      <c r="G524" s="266"/>
      <c r="H524" s="266">
        <f>IFERROR( VLOOKUP(A524,Descargas!$B$3:$I$94,3,FALSE),0)</f>
        <v>0</v>
      </c>
      <c r="I524" s="266">
        <f>IFERROR( VLOOKUP(A524,Descargas!$B$3:$I$94,4,FALSE),0)</f>
        <v>0</v>
      </c>
      <c r="J524" s="266">
        <f>IFERROR( VLOOKUP(A524,Descargas!$B$3:$I$94,5,FALSE),0)</f>
        <v>0</v>
      </c>
      <c r="K524" s="266">
        <f>IFERROR( VLOOKUP(A524,Descargas!$B$3:$I$94,6,FALSE),0)</f>
        <v>0</v>
      </c>
      <c r="L524" s="266">
        <f>IFERROR( VLOOKUP(A524,Descargas!$B$3:$I$94,7,FALSE),0)</f>
        <v>0</v>
      </c>
      <c r="AB524" s="123">
        <f t="shared" si="49"/>
        <v>0</v>
      </c>
      <c r="AC524" s="123">
        <f t="shared" si="49"/>
        <v>0</v>
      </c>
      <c r="AD524" s="123">
        <f t="shared" si="49"/>
        <v>0</v>
      </c>
      <c r="AE524" s="123">
        <f t="shared" si="49"/>
        <v>0</v>
      </c>
      <c r="AF524" s="123">
        <f t="shared" si="49"/>
        <v>0</v>
      </c>
      <c r="AG524" s="123">
        <f t="shared" si="49"/>
        <v>0</v>
      </c>
      <c r="AH524" s="122">
        <f t="shared" si="45"/>
        <v>0</v>
      </c>
    </row>
    <row r="525" spans="1:34" ht="15.75">
      <c r="A525" s="125">
        <v>268</v>
      </c>
      <c r="B525" s="286">
        <f>IFERROR(VLOOKUP(A525,Cargas!$B$3:$I$93,9,FALSE),0)</f>
        <v>0</v>
      </c>
      <c r="C525" s="127" t="s">
        <v>269</v>
      </c>
      <c r="D525" s="271">
        <f t="shared" si="48"/>
        <v>0</v>
      </c>
      <c r="E525" s="268">
        <f t="shared" si="50"/>
        <v>0</v>
      </c>
      <c r="F525" s="266"/>
      <c r="G525" s="266"/>
      <c r="H525" s="266">
        <f>IFERROR( VLOOKUP(A525,Descargas!$B$3:$I$94,3,FALSE),0)</f>
        <v>0</v>
      </c>
      <c r="I525" s="266">
        <f>IFERROR( VLOOKUP(A525,Descargas!$B$3:$I$94,4,FALSE),0)</f>
        <v>0</v>
      </c>
      <c r="J525" s="266">
        <f>IFERROR( VLOOKUP(A525,Descargas!$B$3:$I$94,5,FALSE),0)</f>
        <v>0</v>
      </c>
      <c r="K525" s="266">
        <f>IFERROR( VLOOKUP(A525,Descargas!$B$3:$I$94,6,FALSE),0)</f>
        <v>0</v>
      </c>
      <c r="L525" s="266">
        <f>IFERROR( VLOOKUP(A525,Descargas!$B$3:$I$94,7,FALSE),0)</f>
        <v>0</v>
      </c>
      <c r="AB525" s="123">
        <f t="shared" si="49"/>
        <v>0</v>
      </c>
      <c r="AC525" s="123">
        <f t="shared" si="49"/>
        <v>0</v>
      </c>
      <c r="AD525" s="123">
        <f t="shared" si="49"/>
        <v>0</v>
      </c>
      <c r="AE525" s="123">
        <f t="shared" si="49"/>
        <v>0</v>
      </c>
      <c r="AF525" s="123">
        <f t="shared" si="49"/>
        <v>0</v>
      </c>
      <c r="AG525" s="123">
        <f t="shared" si="49"/>
        <v>0</v>
      </c>
      <c r="AH525" s="122">
        <f t="shared" si="45"/>
        <v>0</v>
      </c>
    </row>
    <row r="526" spans="1:34" s="86" customFormat="1" ht="15.75">
      <c r="A526" s="125">
        <v>269</v>
      </c>
      <c r="B526" s="286">
        <f>IFERROR(VLOOKUP(A526,Cargas!$B$3:$I$93,9,FALSE),0)</f>
        <v>0</v>
      </c>
      <c r="C526" s="127" t="s">
        <v>270</v>
      </c>
      <c r="D526" s="271">
        <f t="shared" si="48"/>
        <v>0</v>
      </c>
      <c r="E526" s="268">
        <f t="shared" si="50"/>
        <v>0</v>
      </c>
      <c r="F526" s="266"/>
      <c r="G526" s="266"/>
      <c r="H526" s="266">
        <f>IFERROR( VLOOKUP(A526,Descargas!$B$3:$I$94,3,FALSE),0)</f>
        <v>0</v>
      </c>
      <c r="I526" s="266">
        <f>IFERROR( VLOOKUP(A526,Descargas!$B$3:$I$94,4,FALSE),0)</f>
        <v>0</v>
      </c>
      <c r="J526" s="266">
        <f>IFERROR( VLOOKUP(A526,Descargas!$B$3:$I$94,5,FALSE),0)</f>
        <v>0</v>
      </c>
      <c r="K526" s="266">
        <f>IFERROR( VLOOKUP(A526,Descargas!$B$3:$I$94,6,FALSE),0)</f>
        <v>0</v>
      </c>
      <c r="L526" s="266">
        <f>IFERROR( VLOOKUP(A526,Descargas!$B$3:$I$94,7,FALSE),0)</f>
        <v>0</v>
      </c>
      <c r="AB526" s="123">
        <f t="shared" si="49"/>
        <v>0</v>
      </c>
      <c r="AC526" s="123">
        <f t="shared" si="49"/>
        <v>0</v>
      </c>
      <c r="AD526" s="123">
        <f t="shared" si="49"/>
        <v>0</v>
      </c>
      <c r="AE526" s="123">
        <f t="shared" si="49"/>
        <v>0</v>
      </c>
      <c r="AF526" s="123">
        <f t="shared" si="49"/>
        <v>0</v>
      </c>
      <c r="AG526" s="123">
        <f t="shared" si="49"/>
        <v>0</v>
      </c>
      <c r="AH526" s="122">
        <f t="shared" si="45"/>
        <v>0</v>
      </c>
    </row>
    <row r="527" spans="1:34" s="86" customFormat="1" ht="15.75">
      <c r="A527" s="125">
        <v>270</v>
      </c>
      <c r="B527" s="286">
        <f>IFERROR(VLOOKUP(A527,Cargas!$B$3:$I$93,9,FALSE),0)</f>
        <v>0</v>
      </c>
      <c r="C527" s="127" t="s">
        <v>271</v>
      </c>
      <c r="D527" s="271">
        <f t="shared" si="48"/>
        <v>0</v>
      </c>
      <c r="E527" s="268">
        <f>+SUM(H527:L527)</f>
        <v>0</v>
      </c>
      <c r="F527" s="266"/>
      <c r="G527" s="266"/>
      <c r="H527" s="266">
        <f>IFERROR( VLOOKUP(A527,Descargas!$B$3:$I$94,3,FALSE),0)</f>
        <v>0</v>
      </c>
      <c r="I527" s="266">
        <f>IFERROR( VLOOKUP(A527,Descargas!$B$3:$I$94,4,FALSE),0)</f>
        <v>0</v>
      </c>
      <c r="J527" s="266">
        <f>IFERROR( VLOOKUP(A527,Descargas!$B$3:$I$94,5,FALSE),0)</f>
        <v>0</v>
      </c>
      <c r="K527" s="266">
        <f>IFERROR( VLOOKUP(A527,Descargas!$B$3:$I$94,6,FALSE),0)</f>
        <v>0</v>
      </c>
      <c r="L527" s="266">
        <f>IFERROR( VLOOKUP(A527,Descargas!$B$3:$I$94,7,FALSE),0)</f>
        <v>0</v>
      </c>
      <c r="AB527" s="123">
        <f t="shared" si="49"/>
        <v>0</v>
      </c>
      <c r="AC527" s="123">
        <f t="shared" si="49"/>
        <v>0</v>
      </c>
      <c r="AD527" s="123">
        <f t="shared" si="49"/>
        <v>0</v>
      </c>
      <c r="AE527" s="123">
        <f t="shared" si="49"/>
        <v>0</v>
      </c>
      <c r="AF527" s="123">
        <f t="shared" si="49"/>
        <v>0</v>
      </c>
      <c r="AG527" s="123">
        <f t="shared" si="49"/>
        <v>0</v>
      </c>
      <c r="AH527" s="122">
        <f t="shared" ref="AH527:AH545" si="51">+SUM(AB527:AG527)</f>
        <v>0</v>
      </c>
    </row>
    <row r="528" spans="1:34" ht="15.75">
      <c r="A528" s="125">
        <v>271</v>
      </c>
      <c r="B528" s="286">
        <f>IFERROR(VLOOKUP(A528,Cargas!$B$3:$I$93,9,FALSE),0)</f>
        <v>0</v>
      </c>
      <c r="C528" s="127" t="s">
        <v>272</v>
      </c>
      <c r="D528" s="271">
        <f t="shared" ref="D528:D534" si="52">+SUM(H528:L528)</f>
        <v>0</v>
      </c>
      <c r="E528" s="268">
        <f t="shared" si="50"/>
        <v>0</v>
      </c>
      <c r="F528" s="266"/>
      <c r="G528" s="266"/>
      <c r="H528" s="266">
        <f>IFERROR( VLOOKUP(A528,Descargas!$B$3:$I$94,3,FALSE),0)</f>
        <v>0</v>
      </c>
      <c r="I528" s="266">
        <f>IFERROR( VLOOKUP(A528,Descargas!$B$3:$I$94,4,FALSE),0)</f>
        <v>0</v>
      </c>
      <c r="J528" s="266">
        <f>IFERROR( VLOOKUP(A528,Descargas!$B$3:$I$94,5,FALSE),0)</f>
        <v>0</v>
      </c>
      <c r="K528" s="266">
        <f>IFERROR( VLOOKUP(A528,Descargas!$B$3:$I$94,6,FALSE),0)</f>
        <v>0</v>
      </c>
      <c r="L528" s="266">
        <f>IFERROR( VLOOKUP(A528,Descargas!$B$3:$I$94,7,FALSE),0)</f>
        <v>0</v>
      </c>
      <c r="AB528" s="123">
        <f t="shared" si="49"/>
        <v>0</v>
      </c>
      <c r="AC528" s="123">
        <f t="shared" si="49"/>
        <v>0</v>
      </c>
      <c r="AD528" s="123">
        <f t="shared" si="49"/>
        <v>0</v>
      </c>
      <c r="AE528" s="123">
        <f t="shared" si="49"/>
        <v>0</v>
      </c>
      <c r="AF528" s="123">
        <f t="shared" si="49"/>
        <v>0</v>
      </c>
      <c r="AG528" s="123">
        <f t="shared" si="49"/>
        <v>0</v>
      </c>
      <c r="AH528" s="122">
        <f t="shared" si="51"/>
        <v>0</v>
      </c>
    </row>
    <row r="529" spans="1:34" s="86" customFormat="1" ht="15.75">
      <c r="A529" s="125">
        <v>272</v>
      </c>
      <c r="B529" s="286">
        <f>IFERROR(VLOOKUP(A529,Cargas!$B$3:$I$93,9,FALSE),0)</f>
        <v>0</v>
      </c>
      <c r="C529" s="127" t="s">
        <v>273</v>
      </c>
      <c r="D529" s="271">
        <f t="shared" si="52"/>
        <v>0</v>
      </c>
      <c r="E529" s="268">
        <f t="shared" si="50"/>
        <v>0</v>
      </c>
      <c r="F529" s="266"/>
      <c r="G529" s="266"/>
      <c r="H529" s="266">
        <f>IFERROR( VLOOKUP(A529,Descargas!$B$3:$I$94,3,FALSE),0)</f>
        <v>0</v>
      </c>
      <c r="I529" s="266">
        <f>IFERROR( VLOOKUP(A529,Descargas!$B$3:$I$94,4,FALSE),0)</f>
        <v>0</v>
      </c>
      <c r="J529" s="266">
        <f>IFERROR( VLOOKUP(A529,Descargas!$B$3:$I$94,5,FALSE),0)</f>
        <v>0</v>
      </c>
      <c r="K529" s="266">
        <f>IFERROR( VLOOKUP(A529,Descargas!$B$3:$I$94,6,FALSE),0)</f>
        <v>0</v>
      </c>
      <c r="L529" s="266">
        <f>IFERROR( VLOOKUP(A529,Descargas!$B$3:$I$94,7,FALSE),0)</f>
        <v>0</v>
      </c>
      <c r="AB529" s="123">
        <f t="shared" si="49"/>
        <v>0</v>
      </c>
      <c r="AC529" s="123">
        <f t="shared" si="49"/>
        <v>0</v>
      </c>
      <c r="AD529" s="123">
        <f t="shared" si="49"/>
        <v>0</v>
      </c>
      <c r="AE529" s="123">
        <f t="shared" si="49"/>
        <v>0</v>
      </c>
      <c r="AF529" s="123">
        <f t="shared" si="49"/>
        <v>0</v>
      </c>
      <c r="AG529" s="123">
        <f t="shared" si="49"/>
        <v>0</v>
      </c>
      <c r="AH529" s="122">
        <f t="shared" si="51"/>
        <v>0</v>
      </c>
    </row>
    <row r="530" spans="1:34" s="86" customFormat="1" ht="15.75">
      <c r="A530" s="125">
        <v>273</v>
      </c>
      <c r="B530" s="286">
        <f>IFERROR(VLOOKUP(A530,Cargas!$B$3:$I$93,9,FALSE),0)</f>
        <v>0</v>
      </c>
      <c r="C530" s="127" t="s">
        <v>274</v>
      </c>
      <c r="D530" s="271">
        <f t="shared" si="52"/>
        <v>0</v>
      </c>
      <c r="E530" s="268">
        <f t="shared" si="50"/>
        <v>0</v>
      </c>
      <c r="F530" s="266"/>
      <c r="G530" s="266"/>
      <c r="H530" s="266">
        <f>IFERROR( VLOOKUP(A530,Descargas!$B$3:$I$94,3,FALSE),0)</f>
        <v>0</v>
      </c>
      <c r="I530" s="266">
        <f>IFERROR( VLOOKUP(A530,Descargas!$B$3:$I$94,4,FALSE),0)</f>
        <v>0</v>
      </c>
      <c r="J530" s="266">
        <f>IFERROR( VLOOKUP(A530,Descargas!$B$3:$I$94,5,FALSE),0)</f>
        <v>0</v>
      </c>
      <c r="K530" s="266">
        <f>IFERROR( VLOOKUP(A530,Descargas!$B$3:$I$94,6,FALSE),0)</f>
        <v>0</v>
      </c>
      <c r="L530" s="266">
        <f>IFERROR( VLOOKUP(A530,Descargas!$B$3:$I$94,7,FALSE),0)</f>
        <v>0</v>
      </c>
      <c r="AB530" s="123">
        <f t="shared" si="49"/>
        <v>0</v>
      </c>
      <c r="AC530" s="123">
        <f t="shared" si="49"/>
        <v>0</v>
      </c>
      <c r="AD530" s="123">
        <f t="shared" si="49"/>
        <v>0</v>
      </c>
      <c r="AE530" s="123">
        <f t="shared" si="49"/>
        <v>0</v>
      </c>
      <c r="AF530" s="123">
        <f t="shared" si="49"/>
        <v>0</v>
      </c>
      <c r="AG530" s="123">
        <f t="shared" si="49"/>
        <v>0</v>
      </c>
      <c r="AH530" s="122">
        <f t="shared" si="51"/>
        <v>0</v>
      </c>
    </row>
    <row r="531" spans="1:34" ht="15.75">
      <c r="A531" s="125">
        <v>274</v>
      </c>
      <c r="B531" s="286">
        <f>IFERROR(VLOOKUP(A531,Cargas!$B$3:$I$93,9,FALSE),0)</f>
        <v>0</v>
      </c>
      <c r="C531" s="127" t="s">
        <v>276</v>
      </c>
      <c r="D531" s="271">
        <f t="shared" si="52"/>
        <v>0</v>
      </c>
      <c r="E531" s="268">
        <f>+SUM(H531:L531)</f>
        <v>0</v>
      </c>
      <c r="F531" s="266"/>
      <c r="G531" s="266"/>
      <c r="H531" s="266">
        <f>IFERROR( VLOOKUP(A531,Descargas!$B$3:$I$94,3,FALSE),0)</f>
        <v>0</v>
      </c>
      <c r="I531" s="266">
        <f>IFERROR( VLOOKUP(A531,Descargas!$B$3:$I$94,4,FALSE),0)</f>
        <v>0</v>
      </c>
      <c r="J531" s="266">
        <f>IFERROR( VLOOKUP(A531,Descargas!$B$3:$I$94,5,FALSE),0)</f>
        <v>0</v>
      </c>
      <c r="K531" s="266">
        <f>IFERROR( VLOOKUP(A531,Descargas!$B$3:$I$94,6,FALSE),0)</f>
        <v>0</v>
      </c>
      <c r="L531" s="266">
        <f>IFERROR( VLOOKUP(A531,Descargas!$B$3:$I$94,7,FALSE),0)</f>
        <v>0</v>
      </c>
      <c r="AB531" s="123">
        <f t="shared" si="49"/>
        <v>0</v>
      </c>
      <c r="AC531" s="123">
        <f t="shared" si="49"/>
        <v>0</v>
      </c>
      <c r="AD531" s="123">
        <f t="shared" si="49"/>
        <v>0</v>
      </c>
      <c r="AE531" s="123">
        <f t="shared" si="49"/>
        <v>0</v>
      </c>
      <c r="AF531" s="123">
        <f t="shared" si="49"/>
        <v>0</v>
      </c>
      <c r="AG531" s="123">
        <f t="shared" si="49"/>
        <v>0</v>
      </c>
      <c r="AH531" s="122">
        <f t="shared" si="51"/>
        <v>0</v>
      </c>
    </row>
    <row r="532" spans="1:34" s="86" customFormat="1" ht="15.75">
      <c r="A532" s="125">
        <v>275</v>
      </c>
      <c r="B532" s="286">
        <f>IFERROR(VLOOKUP(A532,Cargas!$B$3:$I$93,9,FALSE),0)</f>
        <v>0</v>
      </c>
      <c r="C532" s="127" t="s">
        <v>277</v>
      </c>
      <c r="D532" s="271">
        <f t="shared" si="52"/>
        <v>0</v>
      </c>
      <c r="E532" s="268">
        <f>+SUM(H532:L532)</f>
        <v>0</v>
      </c>
      <c r="F532" s="266"/>
      <c r="G532" s="266"/>
      <c r="H532" s="266">
        <f>IFERROR( VLOOKUP(A532,Descargas!$B$3:$I$94,3,FALSE),0)</f>
        <v>0</v>
      </c>
      <c r="I532" s="266">
        <f>IFERROR( VLOOKUP(A532,Descargas!$B$3:$I$94,4,FALSE),0)</f>
        <v>0</v>
      </c>
      <c r="J532" s="266">
        <f>IFERROR( VLOOKUP(A532,Descargas!$B$3:$I$94,5,FALSE),0)</f>
        <v>0</v>
      </c>
      <c r="K532" s="266">
        <f>IFERROR( VLOOKUP(A532,Descargas!$B$3:$I$94,6,FALSE),0)</f>
        <v>0</v>
      </c>
      <c r="L532" s="266">
        <f>IFERROR( VLOOKUP(A532,Descargas!$B$3:$I$94,7,FALSE),0)</f>
        <v>0</v>
      </c>
      <c r="AB532" s="123">
        <f t="shared" si="49"/>
        <v>0</v>
      </c>
      <c r="AC532" s="123">
        <f t="shared" si="49"/>
        <v>0</v>
      </c>
      <c r="AD532" s="123">
        <f t="shared" si="49"/>
        <v>0</v>
      </c>
      <c r="AE532" s="123">
        <f t="shared" si="49"/>
        <v>0</v>
      </c>
      <c r="AF532" s="123">
        <f t="shared" si="49"/>
        <v>0</v>
      </c>
      <c r="AG532" s="123">
        <f t="shared" si="49"/>
        <v>0</v>
      </c>
      <c r="AH532" s="122">
        <f t="shared" si="51"/>
        <v>0</v>
      </c>
    </row>
    <row r="533" spans="1:34" s="86" customFormat="1" ht="15.75">
      <c r="A533" s="125">
        <v>276</v>
      </c>
      <c r="B533" s="286">
        <f>IFERROR(VLOOKUP(A533,Cargas!$B$3:$I$93,9,FALSE),0)</f>
        <v>0</v>
      </c>
      <c r="C533" s="127" t="s">
        <v>278</v>
      </c>
      <c r="D533" s="271">
        <f t="shared" si="52"/>
        <v>0</v>
      </c>
      <c r="E533" s="268">
        <f t="shared" si="50"/>
        <v>0</v>
      </c>
      <c r="F533" s="266"/>
      <c r="G533" s="266"/>
      <c r="H533" s="266">
        <f>IFERROR( VLOOKUP(A533,Descargas!$B$3:$I$94,3,FALSE),0)</f>
        <v>0</v>
      </c>
      <c r="I533" s="266">
        <f>IFERROR( VLOOKUP(A533,Descargas!$B$3:$I$94,4,FALSE),0)</f>
        <v>0</v>
      </c>
      <c r="J533" s="266">
        <f>IFERROR( VLOOKUP(A533,Descargas!$B$3:$I$94,5,FALSE),0)</f>
        <v>0</v>
      </c>
      <c r="K533" s="266">
        <f>IFERROR( VLOOKUP(A533,Descargas!$B$3:$I$94,6,FALSE),0)</f>
        <v>0</v>
      </c>
      <c r="L533" s="266">
        <f>IFERROR( VLOOKUP(A533,Descargas!$B$3:$I$94,7,FALSE),0)</f>
        <v>0</v>
      </c>
      <c r="AB533" s="123">
        <f t="shared" si="49"/>
        <v>0</v>
      </c>
      <c r="AC533" s="123">
        <f t="shared" si="49"/>
        <v>0</v>
      </c>
      <c r="AD533" s="123">
        <f t="shared" si="49"/>
        <v>0</v>
      </c>
      <c r="AE533" s="123">
        <f t="shared" si="49"/>
        <v>0</v>
      </c>
      <c r="AF533" s="123">
        <f t="shared" si="49"/>
        <v>0</v>
      </c>
      <c r="AG533" s="123">
        <f t="shared" si="49"/>
        <v>0</v>
      </c>
      <c r="AH533" s="122">
        <f t="shared" si="51"/>
        <v>0</v>
      </c>
    </row>
    <row r="534" spans="1:34" ht="15.75">
      <c r="A534" s="125">
        <v>277</v>
      </c>
      <c r="B534" s="286">
        <f>IFERROR(VLOOKUP(A534,Cargas!$B$3:$I$93,9,FALSE),0)</f>
        <v>0</v>
      </c>
      <c r="C534" s="127">
        <v>277</v>
      </c>
      <c r="D534" s="271">
        <f t="shared" si="52"/>
        <v>0</v>
      </c>
      <c r="E534" s="268">
        <f>+SUM(H534:L534)</f>
        <v>0</v>
      </c>
      <c r="F534" s="266"/>
      <c r="G534" s="266"/>
      <c r="H534" s="266">
        <f>IFERROR( VLOOKUP(A534,Descargas!$B$3:$I$94,3,FALSE),0)</f>
        <v>0</v>
      </c>
      <c r="I534" s="266">
        <f>IFERROR( VLOOKUP(A534,Descargas!$B$3:$I$94,4,FALSE),0)</f>
        <v>0</v>
      </c>
      <c r="J534" s="266">
        <f>IFERROR( VLOOKUP(A534,Descargas!$B$3:$I$94,5,FALSE),0)</f>
        <v>0</v>
      </c>
      <c r="K534" s="266">
        <f>IFERROR( VLOOKUP(A534,Descargas!$B$3:$I$94,6,FALSE),0)</f>
        <v>0</v>
      </c>
      <c r="L534" s="266">
        <f>IFERROR( VLOOKUP(A534,Descargas!$B$3:$I$94,7,FALSE),0)</f>
        <v>0</v>
      </c>
      <c r="AB534" s="123">
        <f t="shared" si="49"/>
        <v>0</v>
      </c>
      <c r="AC534" s="123">
        <f t="shared" si="49"/>
        <v>0</v>
      </c>
      <c r="AD534" s="123">
        <f t="shared" si="49"/>
        <v>0</v>
      </c>
      <c r="AE534" s="123">
        <f t="shared" si="49"/>
        <v>0</v>
      </c>
      <c r="AF534" s="123">
        <f t="shared" si="49"/>
        <v>0</v>
      </c>
      <c r="AG534" s="123">
        <f t="shared" si="49"/>
        <v>0</v>
      </c>
      <c r="AH534" s="122">
        <f t="shared" si="51"/>
        <v>0</v>
      </c>
    </row>
    <row r="535" spans="1:34" s="86" customFormat="1" ht="15.75">
      <c r="A535" s="125">
        <v>278</v>
      </c>
      <c r="B535" s="286">
        <f>IFERROR(VLOOKUP(A535,Cargas!$B$3:$I$93,9,FALSE),0)</f>
        <v>0</v>
      </c>
      <c r="C535" s="127" t="s">
        <v>280</v>
      </c>
      <c r="D535" s="271">
        <f t="shared" ref="D535:D544" si="53">+SUM(H535:L535)</f>
        <v>0</v>
      </c>
      <c r="E535" s="268">
        <f>+SUM(H535:L535)</f>
        <v>0</v>
      </c>
      <c r="F535" s="275"/>
      <c r="G535" s="266"/>
      <c r="H535" s="266">
        <f>IFERROR( VLOOKUP(A535,Descargas!$B$3:$I$94,3,FALSE),0)</f>
        <v>0</v>
      </c>
      <c r="I535" s="266">
        <f>IFERROR( VLOOKUP(A535,Descargas!$B$3:$I$94,4,FALSE),0)</f>
        <v>0</v>
      </c>
      <c r="J535" s="266">
        <f>IFERROR( VLOOKUP(A535,Descargas!$B$3:$I$94,5,FALSE),0)</f>
        <v>0</v>
      </c>
      <c r="K535" s="266">
        <f>IFERROR( VLOOKUP(A535,Descargas!$B$3:$I$94,6,FALSE),0)</f>
        <v>0</v>
      </c>
      <c r="L535" s="266">
        <f>IFERROR( VLOOKUP(A535,Descargas!$B$3:$I$94,7,FALSE),0)</f>
        <v>0</v>
      </c>
      <c r="AB535" s="123">
        <f t="shared" si="49"/>
        <v>0</v>
      </c>
      <c r="AC535" s="123">
        <f t="shared" si="49"/>
        <v>0</v>
      </c>
      <c r="AD535" s="123">
        <f t="shared" si="49"/>
        <v>0</v>
      </c>
      <c r="AE535" s="123">
        <f t="shared" si="49"/>
        <v>0</v>
      </c>
      <c r="AF535" s="123">
        <f t="shared" si="49"/>
        <v>0</v>
      </c>
      <c r="AG535" s="123">
        <f t="shared" si="49"/>
        <v>0</v>
      </c>
      <c r="AH535" s="122">
        <f t="shared" si="51"/>
        <v>0</v>
      </c>
    </row>
    <row r="536" spans="1:34" s="86" customFormat="1" ht="15.75">
      <c r="A536" s="125">
        <v>279</v>
      </c>
      <c r="B536" s="286">
        <f>IFERROR(VLOOKUP(A536,Cargas!$B$3:$I$93,9,FALSE),0)</f>
        <v>0</v>
      </c>
      <c r="C536" s="127">
        <v>279</v>
      </c>
      <c r="D536" s="271">
        <f t="shared" si="53"/>
        <v>0</v>
      </c>
      <c r="E536" s="268">
        <f t="shared" si="50"/>
        <v>0</v>
      </c>
      <c r="F536" s="275"/>
      <c r="G536" s="266"/>
      <c r="H536" s="266">
        <f>IFERROR( VLOOKUP(A536,Descargas!$B$3:$I$94,3,FALSE),0)</f>
        <v>0</v>
      </c>
      <c r="I536" s="266">
        <f>IFERROR( VLOOKUP(A536,Descargas!$B$3:$I$94,4,FALSE),0)</f>
        <v>0</v>
      </c>
      <c r="J536" s="266">
        <f>IFERROR( VLOOKUP(A536,Descargas!$B$3:$I$94,5,FALSE),0)</f>
        <v>0</v>
      </c>
      <c r="K536" s="266">
        <f>IFERROR( VLOOKUP(A536,Descargas!$B$3:$I$94,6,FALSE),0)</f>
        <v>0</v>
      </c>
      <c r="L536" s="266">
        <f>IFERROR( VLOOKUP(A536,Descargas!$B$3:$I$94,7,FALSE),0)</f>
        <v>0</v>
      </c>
      <c r="AB536" s="123">
        <f t="shared" si="49"/>
        <v>0</v>
      </c>
      <c r="AC536" s="123">
        <f t="shared" si="49"/>
        <v>0</v>
      </c>
      <c r="AD536" s="123">
        <f t="shared" si="49"/>
        <v>0</v>
      </c>
      <c r="AE536" s="123">
        <f t="shared" si="49"/>
        <v>0</v>
      </c>
      <c r="AF536" s="123">
        <f t="shared" si="49"/>
        <v>0</v>
      </c>
      <c r="AG536" s="123">
        <f t="shared" si="49"/>
        <v>0</v>
      </c>
      <c r="AH536" s="122">
        <f t="shared" si="51"/>
        <v>0</v>
      </c>
    </row>
    <row r="537" spans="1:34" s="86" customFormat="1" ht="15.75">
      <c r="A537" s="125">
        <v>280</v>
      </c>
      <c r="B537" s="286">
        <f>IFERROR(VLOOKUP(A537,Cargas!$B$3:$I$93,9,FALSE),0)</f>
        <v>0</v>
      </c>
      <c r="C537" s="127">
        <v>280</v>
      </c>
      <c r="D537" s="271">
        <f t="shared" si="53"/>
        <v>0</v>
      </c>
      <c r="E537" s="268">
        <f t="shared" si="50"/>
        <v>0</v>
      </c>
      <c r="F537" s="275"/>
      <c r="G537" s="266"/>
      <c r="H537" s="266">
        <f>IFERROR( VLOOKUP(A537,Descargas!$B$3:$I$94,3,FALSE),0)</f>
        <v>0</v>
      </c>
      <c r="I537" s="266">
        <f>IFERROR( VLOOKUP(A537,Descargas!$B$3:$I$94,4,FALSE),0)</f>
        <v>0</v>
      </c>
      <c r="J537" s="266">
        <f>IFERROR( VLOOKUP(A537,Descargas!$B$3:$I$94,5,FALSE),0)</f>
        <v>0</v>
      </c>
      <c r="K537" s="266">
        <f>IFERROR( VLOOKUP(A537,Descargas!$B$3:$I$94,6,FALSE),0)</f>
        <v>0</v>
      </c>
      <c r="L537" s="266">
        <f>IFERROR( VLOOKUP(A537,Descargas!$B$3:$I$94,7,FALSE),0)</f>
        <v>0</v>
      </c>
      <c r="AB537" s="123">
        <f t="shared" si="49"/>
        <v>0</v>
      </c>
      <c r="AC537" s="123">
        <f t="shared" si="49"/>
        <v>0</v>
      </c>
      <c r="AD537" s="123">
        <f t="shared" si="49"/>
        <v>0</v>
      </c>
      <c r="AE537" s="123">
        <f t="shared" si="49"/>
        <v>0</v>
      </c>
      <c r="AF537" s="123">
        <f t="shared" si="49"/>
        <v>0</v>
      </c>
      <c r="AG537" s="123">
        <f t="shared" si="49"/>
        <v>0</v>
      </c>
      <c r="AH537" s="122">
        <f t="shared" si="51"/>
        <v>0</v>
      </c>
    </row>
    <row r="538" spans="1:34" s="86" customFormat="1" ht="15.75">
      <c r="A538" s="125">
        <v>282</v>
      </c>
      <c r="B538" s="286">
        <f>IFERROR(VLOOKUP(A538,Cargas!$B$3:$I$93,9,FALSE),0)</f>
        <v>0</v>
      </c>
      <c r="C538" s="127">
        <v>282</v>
      </c>
      <c r="D538" s="271">
        <f t="shared" si="53"/>
        <v>0</v>
      </c>
      <c r="E538" s="268">
        <f>+SUM(H538:L538)</f>
        <v>0</v>
      </c>
      <c r="F538" s="275"/>
      <c r="G538" s="266"/>
      <c r="H538" s="266">
        <f>IFERROR( VLOOKUP(A538,Descargas!$B$3:$I$94,3,FALSE),0)</f>
        <v>0</v>
      </c>
      <c r="I538" s="266">
        <f>IFERROR( VLOOKUP(A538,Descargas!$B$3:$I$94,4,FALSE),0)</f>
        <v>0</v>
      </c>
      <c r="J538" s="266">
        <f>IFERROR( VLOOKUP(A538,Descargas!$B$3:$I$94,5,FALSE),0)</f>
        <v>0</v>
      </c>
      <c r="K538" s="266">
        <f>IFERROR( VLOOKUP(A538,Descargas!$B$3:$I$94,6,FALSE),0)</f>
        <v>0</v>
      </c>
      <c r="L538" s="266">
        <f>IFERROR( VLOOKUP(A538,Descargas!$B$3:$I$94,7,FALSE),0)</f>
        <v>0</v>
      </c>
      <c r="AB538" s="123">
        <f t="shared" si="49"/>
        <v>0</v>
      </c>
      <c r="AC538" s="123">
        <f t="shared" si="49"/>
        <v>0</v>
      </c>
      <c r="AD538" s="123">
        <f t="shared" si="49"/>
        <v>0</v>
      </c>
      <c r="AE538" s="123">
        <f t="shared" si="49"/>
        <v>0</v>
      </c>
      <c r="AF538" s="123">
        <f t="shared" si="49"/>
        <v>0</v>
      </c>
      <c r="AG538" s="123">
        <f t="shared" si="49"/>
        <v>0</v>
      </c>
      <c r="AH538" s="122">
        <f t="shared" si="51"/>
        <v>0</v>
      </c>
    </row>
    <row r="539" spans="1:34" s="86" customFormat="1" ht="15.75">
      <c r="A539" s="125">
        <v>283</v>
      </c>
      <c r="B539" s="286">
        <f>IFERROR(VLOOKUP(A539,Cargas!$B$3:$I$93,9,FALSE),0)</f>
        <v>0</v>
      </c>
      <c r="C539" s="127">
        <v>283</v>
      </c>
      <c r="D539" s="271">
        <f t="shared" ref="D539" si="54">+SUM(H539:L539)</f>
        <v>0</v>
      </c>
      <c r="E539" s="268">
        <f>+SUM(H539:L539)</f>
        <v>0</v>
      </c>
      <c r="F539" s="275"/>
      <c r="G539" s="266"/>
      <c r="H539" s="266">
        <f>IFERROR( VLOOKUP(A539,Descargas!$B$3:$I$94,3,FALSE),0)</f>
        <v>0</v>
      </c>
      <c r="I539" s="266">
        <f>IFERROR( VLOOKUP(A539,Descargas!$B$3:$I$94,4,FALSE),0)</f>
        <v>0</v>
      </c>
      <c r="J539" s="266">
        <f>IFERROR( VLOOKUP(A539,Descargas!$B$3:$I$94,5,FALSE),0)</f>
        <v>0</v>
      </c>
      <c r="K539" s="266">
        <f>IFERROR( VLOOKUP(A539,Descargas!$B$3:$I$94,6,FALSE),0)</f>
        <v>0</v>
      </c>
      <c r="L539" s="266">
        <f>IFERROR( VLOOKUP(A539,Descargas!$B$3:$I$94,7,FALSE),0)</f>
        <v>0</v>
      </c>
      <c r="AB539" s="123">
        <f t="shared" ref="AB539:AG539" si="55">+G539/G$9</f>
        <v>0</v>
      </c>
      <c r="AC539" s="123">
        <f t="shared" si="55"/>
        <v>0</v>
      </c>
      <c r="AD539" s="123">
        <f t="shared" si="55"/>
        <v>0</v>
      </c>
      <c r="AE539" s="123">
        <f t="shared" si="55"/>
        <v>0</v>
      </c>
      <c r="AF539" s="123">
        <f t="shared" si="55"/>
        <v>0</v>
      </c>
      <c r="AG539" s="123">
        <f t="shared" si="55"/>
        <v>0</v>
      </c>
      <c r="AH539" s="122">
        <f t="shared" ref="AH539" si="56">+SUM(AB539:AG539)</f>
        <v>0</v>
      </c>
    </row>
    <row r="540" spans="1:34" s="86" customFormat="1" ht="15.75">
      <c r="A540" s="125">
        <v>286</v>
      </c>
      <c r="B540" s="286">
        <f>IFERROR(VLOOKUP(A540,Cargas!$B$3:$I$93,9,FALSE),0)</f>
        <v>0</v>
      </c>
      <c r="C540" s="127">
        <v>286</v>
      </c>
      <c r="D540" s="271">
        <f t="shared" si="53"/>
        <v>0</v>
      </c>
      <c r="E540" s="268">
        <f t="shared" si="50"/>
        <v>0</v>
      </c>
      <c r="F540" s="275"/>
      <c r="G540" s="266"/>
      <c r="H540" s="266">
        <f>IFERROR( VLOOKUP(A540,Descargas!$B$3:$I$94,3,FALSE),0)</f>
        <v>0</v>
      </c>
      <c r="I540" s="266">
        <f>IFERROR( VLOOKUP(A540,Descargas!$B$3:$I$94,4,FALSE),0)</f>
        <v>0</v>
      </c>
      <c r="J540" s="266">
        <f>IFERROR( VLOOKUP(A540,Descargas!$B$3:$I$94,5,FALSE),0)</f>
        <v>0</v>
      </c>
      <c r="K540" s="266">
        <f>IFERROR( VLOOKUP(A540,Descargas!$B$3:$I$94,6,FALSE),0)</f>
        <v>0</v>
      </c>
      <c r="L540" s="266">
        <f>IFERROR( VLOOKUP(A540,Descargas!$B$3:$I$94,7,FALSE),0)</f>
        <v>0</v>
      </c>
      <c r="AB540" s="123">
        <f t="shared" si="49"/>
        <v>0</v>
      </c>
      <c r="AC540" s="123">
        <f t="shared" si="49"/>
        <v>0</v>
      </c>
      <c r="AD540" s="123">
        <f t="shared" si="49"/>
        <v>0</v>
      </c>
      <c r="AE540" s="123">
        <f t="shared" si="49"/>
        <v>0</v>
      </c>
      <c r="AF540" s="123">
        <f t="shared" si="49"/>
        <v>0</v>
      </c>
      <c r="AG540" s="123">
        <f t="shared" si="49"/>
        <v>0</v>
      </c>
      <c r="AH540" s="122">
        <f t="shared" si="51"/>
        <v>0</v>
      </c>
    </row>
    <row r="541" spans="1:34" s="86" customFormat="1" ht="15.75">
      <c r="A541" s="125">
        <v>290</v>
      </c>
      <c r="B541" s="286">
        <f>IFERROR(VLOOKUP(A541,Cargas!$B$3:$I$93,9,FALSE),0)</f>
        <v>0</v>
      </c>
      <c r="C541" s="127">
        <v>290</v>
      </c>
      <c r="D541" s="271">
        <f t="shared" si="53"/>
        <v>0</v>
      </c>
      <c r="E541" s="268">
        <f>+SUM(H541:L541)</f>
        <v>0</v>
      </c>
      <c r="F541" s="275"/>
      <c r="G541" s="266"/>
      <c r="H541" s="266">
        <f>IFERROR( VLOOKUP(A541,Descargas!$B$3:$I$94,3,FALSE),0)</f>
        <v>0</v>
      </c>
      <c r="I541" s="266">
        <f>IFERROR( VLOOKUP(A541,Descargas!$B$3:$I$94,4,FALSE),0)</f>
        <v>0</v>
      </c>
      <c r="J541" s="266">
        <f>IFERROR( VLOOKUP(A541,Descargas!$B$3:$I$94,5,FALSE),0)</f>
        <v>0</v>
      </c>
      <c r="K541" s="266">
        <f>IFERROR( VLOOKUP(A541,Descargas!$B$3:$I$94,6,FALSE),0)</f>
        <v>0</v>
      </c>
      <c r="L541" s="266">
        <f>IFERROR( VLOOKUP(A541,Descargas!$B$3:$I$94,7,FALSE),0)</f>
        <v>0</v>
      </c>
      <c r="AB541" s="123">
        <f t="shared" si="49"/>
        <v>0</v>
      </c>
      <c r="AC541" s="123">
        <f t="shared" si="49"/>
        <v>0</v>
      </c>
      <c r="AD541" s="123">
        <f t="shared" si="49"/>
        <v>0</v>
      </c>
      <c r="AE541" s="123">
        <f t="shared" si="49"/>
        <v>0</v>
      </c>
      <c r="AF541" s="123">
        <f t="shared" si="49"/>
        <v>0</v>
      </c>
      <c r="AG541" s="123">
        <f t="shared" si="49"/>
        <v>0</v>
      </c>
      <c r="AH541" s="122">
        <f t="shared" si="51"/>
        <v>0</v>
      </c>
    </row>
    <row r="542" spans="1:34" s="86" customFormat="1" ht="15.75">
      <c r="A542" s="125">
        <v>291</v>
      </c>
      <c r="B542" s="286">
        <f>IFERROR(VLOOKUP(A542,Cargas!$B$3:$I$93,9,FALSE),0)</f>
        <v>0</v>
      </c>
      <c r="C542" s="127">
        <v>291</v>
      </c>
      <c r="D542" s="271">
        <f t="shared" si="53"/>
        <v>0</v>
      </c>
      <c r="E542" s="268">
        <f>+SUM(H542:L542)</f>
        <v>0</v>
      </c>
      <c r="F542" s="275"/>
      <c r="G542" s="266"/>
      <c r="H542" s="266">
        <f>IFERROR( VLOOKUP(A542,Descargas!$B$3:$I$94,3,FALSE),0)</f>
        <v>0</v>
      </c>
      <c r="I542" s="266">
        <f>IFERROR( VLOOKUP(A542,Descargas!$B$3:$I$94,4,FALSE),0)</f>
        <v>0</v>
      </c>
      <c r="J542" s="266">
        <f>IFERROR( VLOOKUP(A542,Descargas!$B$3:$I$94,5,FALSE),0)</f>
        <v>0</v>
      </c>
      <c r="K542" s="266">
        <f>IFERROR( VLOOKUP(A542,Descargas!$B$3:$I$94,6,FALSE),0)</f>
        <v>0</v>
      </c>
      <c r="L542" s="266">
        <f>IFERROR( VLOOKUP(A542,Descargas!$B$3:$I$94,7,FALSE),0)</f>
        <v>0</v>
      </c>
      <c r="AB542" s="123">
        <f t="shared" si="49"/>
        <v>0</v>
      </c>
      <c r="AC542" s="123">
        <f t="shared" si="49"/>
        <v>0</v>
      </c>
      <c r="AD542" s="123">
        <f t="shared" si="49"/>
        <v>0</v>
      </c>
      <c r="AE542" s="123">
        <f t="shared" ref="AE542:AG545" si="57">+J542/J$9</f>
        <v>0</v>
      </c>
      <c r="AF542" s="123">
        <f t="shared" si="57"/>
        <v>0</v>
      </c>
      <c r="AG542" s="123">
        <f t="shared" si="57"/>
        <v>0</v>
      </c>
      <c r="AH542" s="122">
        <f t="shared" si="51"/>
        <v>0</v>
      </c>
    </row>
    <row r="543" spans="1:34" s="86" customFormat="1" ht="15.75">
      <c r="A543" s="125">
        <v>292</v>
      </c>
      <c r="B543" s="286">
        <f>IFERROR(VLOOKUP(A543,Cargas!$B$3:$I$93,9,FALSE),0)</f>
        <v>0</v>
      </c>
      <c r="C543" s="127">
        <v>292</v>
      </c>
      <c r="D543" s="271">
        <f t="shared" si="53"/>
        <v>0</v>
      </c>
      <c r="E543" s="268">
        <f t="shared" si="50"/>
        <v>0</v>
      </c>
      <c r="F543" s="275"/>
      <c r="G543" s="266"/>
      <c r="H543" s="266">
        <f>IFERROR( VLOOKUP(A543,Descargas!$B$3:$I$94,3,FALSE),0)</f>
        <v>0</v>
      </c>
      <c r="I543" s="266">
        <f>IFERROR( VLOOKUP(A543,Descargas!$B$3:$I$94,4,FALSE),0)</f>
        <v>0</v>
      </c>
      <c r="J543" s="266">
        <f>IFERROR( VLOOKUP(A543,Descargas!$B$3:$I$94,5,FALSE),0)</f>
        <v>0</v>
      </c>
      <c r="K543" s="266">
        <f>IFERROR( VLOOKUP(A543,Descargas!$B$3:$I$94,6,FALSE),0)</f>
        <v>0</v>
      </c>
      <c r="L543" s="266">
        <f>IFERROR( VLOOKUP(A543,Descargas!$B$3:$I$94,7,FALSE),0)</f>
        <v>0</v>
      </c>
      <c r="AB543" s="123">
        <f t="shared" ref="AB543:AD545" si="58">+G543/G$9</f>
        <v>0</v>
      </c>
      <c r="AC543" s="123">
        <f t="shared" si="58"/>
        <v>0</v>
      </c>
      <c r="AD543" s="123">
        <f t="shared" si="58"/>
        <v>0</v>
      </c>
      <c r="AE543" s="123">
        <f t="shared" si="57"/>
        <v>0</v>
      </c>
      <c r="AF543" s="123">
        <f t="shared" si="57"/>
        <v>0</v>
      </c>
      <c r="AG543" s="123">
        <f t="shared" si="57"/>
        <v>0</v>
      </c>
      <c r="AH543" s="122">
        <f t="shared" si="51"/>
        <v>0</v>
      </c>
    </row>
    <row r="544" spans="1:34" s="86" customFormat="1" ht="15.75">
      <c r="A544" s="125">
        <v>293</v>
      </c>
      <c r="B544" s="286">
        <f>IFERROR(VLOOKUP(A544,Cargas!$B$3:$I$93,9,FALSE),0)</f>
        <v>0</v>
      </c>
      <c r="C544" s="127">
        <v>293</v>
      </c>
      <c r="D544" s="271">
        <f t="shared" si="53"/>
        <v>0</v>
      </c>
      <c r="E544" s="268">
        <f t="shared" si="50"/>
        <v>0</v>
      </c>
      <c r="F544" s="275"/>
      <c r="G544" s="266"/>
      <c r="H544" s="266">
        <f>IFERROR( VLOOKUP(A544,Descargas!$B$3:$I$94,3,FALSE),0)</f>
        <v>0</v>
      </c>
      <c r="I544" s="266">
        <f>IFERROR( VLOOKUP(A544,Descargas!$B$3:$I$94,4,FALSE),0)</f>
        <v>0</v>
      </c>
      <c r="J544" s="266">
        <f>IFERROR( VLOOKUP(A544,Descargas!$B$3:$I$94,5,FALSE),0)</f>
        <v>0</v>
      </c>
      <c r="K544" s="266">
        <f>IFERROR( VLOOKUP(A544,Descargas!$B$3:$I$94,6,FALSE),0)</f>
        <v>0</v>
      </c>
      <c r="L544" s="266">
        <f>IFERROR( VLOOKUP(A544,Descargas!$B$3:$I$94,7,FALSE),0)</f>
        <v>0</v>
      </c>
      <c r="AB544" s="123">
        <f t="shared" si="58"/>
        <v>0</v>
      </c>
      <c r="AC544" s="123">
        <f t="shared" si="58"/>
        <v>0</v>
      </c>
      <c r="AD544" s="123">
        <f t="shared" si="58"/>
        <v>0</v>
      </c>
      <c r="AE544" s="123">
        <f t="shared" si="57"/>
        <v>0</v>
      </c>
      <c r="AF544" s="123">
        <f t="shared" si="57"/>
        <v>0</v>
      </c>
      <c r="AG544" s="123">
        <f t="shared" si="57"/>
        <v>0</v>
      </c>
      <c r="AH544" s="122">
        <f t="shared" si="51"/>
        <v>0</v>
      </c>
    </row>
    <row r="545" spans="1:34" ht="15.75">
      <c r="A545" s="125" t="s">
        <v>299</v>
      </c>
      <c r="B545" s="83"/>
      <c r="C545" s="87" t="s">
        <v>48</v>
      </c>
      <c r="D545" s="269">
        <f>SUM(D281:D544)</f>
        <v>0</v>
      </c>
      <c r="E545" s="269">
        <f>+E279</f>
        <v>0</v>
      </c>
      <c r="F545" s="269"/>
      <c r="G545" s="269">
        <f t="shared" ref="G545:L545" si="59">+SUM(G281:G544)</f>
        <v>0</v>
      </c>
      <c r="H545" s="269">
        <f t="shared" si="59"/>
        <v>0</v>
      </c>
      <c r="I545" s="269">
        <f t="shared" si="59"/>
        <v>0</v>
      </c>
      <c r="J545" s="269">
        <f t="shared" si="59"/>
        <v>0</v>
      </c>
      <c r="K545" s="269">
        <f t="shared" si="59"/>
        <v>0</v>
      </c>
      <c r="L545" s="269">
        <f t="shared" si="59"/>
        <v>0</v>
      </c>
      <c r="AB545" s="123">
        <f t="shared" si="58"/>
        <v>0</v>
      </c>
      <c r="AC545" s="123">
        <f t="shared" si="58"/>
        <v>0</v>
      </c>
      <c r="AD545" s="123">
        <f t="shared" si="58"/>
        <v>0</v>
      </c>
      <c r="AE545" s="123">
        <f t="shared" si="57"/>
        <v>0</v>
      </c>
      <c r="AF545" s="123">
        <f t="shared" si="57"/>
        <v>0</v>
      </c>
      <c r="AG545" s="123">
        <f t="shared" si="57"/>
        <v>0</v>
      </c>
      <c r="AH545" s="122">
        <f t="shared" si="51"/>
        <v>0</v>
      </c>
    </row>
    <row r="546" spans="1:34" ht="15.75">
      <c r="A546" s="125"/>
      <c r="B546" s="29" t="s">
        <v>88</v>
      </c>
      <c r="C546" s="128"/>
      <c r="D546" s="36"/>
      <c r="E546" s="36"/>
      <c r="F546" s="36"/>
      <c r="G546" s="36"/>
      <c r="H546" s="36"/>
      <c r="I546" s="36"/>
      <c r="J546" s="36"/>
      <c r="K546" s="36"/>
      <c r="L546" s="88"/>
      <c r="AB546" s="123"/>
      <c r="AC546" s="123"/>
      <c r="AD546" s="123"/>
      <c r="AE546" s="123"/>
      <c r="AF546" s="123"/>
      <c r="AG546" s="123"/>
      <c r="AH546" s="122"/>
    </row>
    <row r="547" spans="1:34" ht="15.75">
      <c r="A547" s="125"/>
      <c r="B547" s="29"/>
      <c r="C547" s="30"/>
      <c r="D547" s="31"/>
      <c r="E547" s="31"/>
      <c r="F547" s="31"/>
      <c r="G547" s="31"/>
      <c r="H547" s="31"/>
      <c r="I547" s="31"/>
      <c r="J547" s="31"/>
      <c r="K547" s="31"/>
      <c r="L547" s="88"/>
      <c r="AB547" s="123"/>
      <c r="AC547" s="123"/>
      <c r="AD547" s="123"/>
      <c r="AE547" s="123"/>
      <c r="AF547" s="123"/>
      <c r="AG547" s="123"/>
      <c r="AH547" s="122"/>
    </row>
    <row r="548" spans="1:34" ht="15.75">
      <c r="A548" s="125"/>
      <c r="B548" s="34"/>
      <c r="C548" s="35"/>
      <c r="D548" s="36"/>
      <c r="E548" s="36" t="s">
        <v>88</v>
      </c>
      <c r="F548" s="36"/>
      <c r="G548" s="36"/>
      <c r="H548" s="36"/>
      <c r="I548" s="36"/>
      <c r="J548" s="36"/>
      <c r="K548" s="89"/>
      <c r="L548" s="38"/>
      <c r="AB548" s="123"/>
      <c r="AC548" s="123"/>
      <c r="AD548" s="123"/>
      <c r="AE548" s="123"/>
      <c r="AF548" s="123"/>
      <c r="AG548" s="123"/>
      <c r="AH548" s="122"/>
    </row>
    <row r="549" spans="1:34" ht="15.75">
      <c r="A549" s="125"/>
      <c r="B549" s="34"/>
      <c r="C549" s="35"/>
      <c r="D549" s="36"/>
      <c r="E549" s="37"/>
      <c r="F549" s="36"/>
      <c r="G549" s="36"/>
      <c r="H549" s="36"/>
      <c r="I549" s="304">
        <f>+I3</f>
        <v>41220</v>
      </c>
      <c r="J549" s="305"/>
      <c r="K549" s="305"/>
      <c r="L549" s="305"/>
      <c r="AB549" s="123"/>
      <c r="AC549" s="123"/>
      <c r="AD549" s="123"/>
      <c r="AE549" s="123"/>
      <c r="AF549" s="123"/>
      <c r="AG549" s="123"/>
      <c r="AH549" s="122"/>
    </row>
    <row r="550" spans="1:34" ht="15.75">
      <c r="A550" s="125"/>
      <c r="B550" s="34"/>
      <c r="C550" s="35"/>
      <c r="D550" s="36"/>
      <c r="E550" s="36"/>
      <c r="F550" s="39"/>
      <c r="G550" s="39"/>
      <c r="H550" s="39"/>
      <c r="I550" s="39"/>
      <c r="J550" s="36"/>
      <c r="K550" s="89"/>
      <c r="L550" s="38"/>
      <c r="AB550" s="123"/>
      <c r="AC550" s="123"/>
      <c r="AD550" s="123"/>
      <c r="AE550" s="123"/>
      <c r="AF550" s="123"/>
      <c r="AG550" s="123"/>
      <c r="AH550" s="122"/>
    </row>
    <row r="551" spans="1:34" ht="15.75">
      <c r="A551" s="125"/>
      <c r="B551" s="34"/>
      <c r="C551" s="41" t="s">
        <v>0</v>
      </c>
      <c r="D551" s="42"/>
      <c r="E551" s="90"/>
      <c r="F551" s="90"/>
      <c r="G551" s="90"/>
      <c r="H551" s="90"/>
      <c r="I551" s="90"/>
      <c r="J551" s="90"/>
      <c r="K551" s="89"/>
      <c r="L551" s="38"/>
      <c r="AB551" s="123"/>
      <c r="AC551" s="123"/>
      <c r="AD551" s="123"/>
      <c r="AE551" s="123"/>
      <c r="AF551" s="123"/>
      <c r="AG551" s="123"/>
      <c r="AH551" s="122"/>
    </row>
    <row r="552" spans="1:34" ht="15.75">
      <c r="A552" s="125"/>
      <c r="B552" s="34"/>
      <c r="C552" s="41"/>
      <c r="D552" s="42"/>
      <c r="E552" s="91"/>
      <c r="F552" s="92"/>
      <c r="G552" s="92"/>
      <c r="H552" s="92"/>
      <c r="I552" s="92"/>
      <c r="J552" s="42"/>
      <c r="K552" s="89"/>
      <c r="L552" s="38"/>
      <c r="AB552" s="123"/>
      <c r="AC552" s="123"/>
      <c r="AD552" s="123"/>
      <c r="AE552" s="123"/>
      <c r="AF552" s="123"/>
      <c r="AG552" s="123"/>
      <c r="AH552" s="122"/>
    </row>
    <row r="553" spans="1:34" ht="15.75">
      <c r="A553" s="125"/>
      <c r="B553" s="34"/>
      <c r="C553" s="35"/>
      <c r="D553" s="36"/>
      <c r="E553" s="36"/>
      <c r="F553" s="36"/>
      <c r="G553" s="36"/>
      <c r="H553" s="36"/>
      <c r="I553" s="304" t="s">
        <v>51</v>
      </c>
      <c r="J553" s="305"/>
      <c r="K553" s="305"/>
      <c r="L553" s="305"/>
      <c r="AB553" s="123"/>
      <c r="AC553" s="123"/>
      <c r="AD553" s="123"/>
      <c r="AE553" s="123"/>
      <c r="AF553" s="123"/>
      <c r="AG553" s="123"/>
      <c r="AH553" s="122"/>
    </row>
    <row r="554" spans="1:34" ht="15.75">
      <c r="A554" s="125"/>
      <c r="B554" s="34"/>
      <c r="C554" s="93" t="s">
        <v>49</v>
      </c>
      <c r="D554" s="94" t="s">
        <v>281</v>
      </c>
      <c r="E554" s="94" t="s">
        <v>282</v>
      </c>
      <c r="F554" s="94" t="s">
        <v>50</v>
      </c>
      <c r="G554" s="94">
        <v>50000</v>
      </c>
      <c r="H554" s="94">
        <v>20000</v>
      </c>
      <c r="I554" s="95">
        <v>10000</v>
      </c>
      <c r="J554" s="96">
        <v>5000</v>
      </c>
      <c r="K554" s="96">
        <v>2000</v>
      </c>
      <c r="L554" s="96">
        <v>1000</v>
      </c>
      <c r="AB554" s="123"/>
      <c r="AC554" s="123"/>
      <c r="AD554" s="123"/>
      <c r="AE554" s="123"/>
      <c r="AF554" s="123"/>
      <c r="AG554" s="123"/>
      <c r="AH554" s="122"/>
    </row>
    <row r="555" spans="1:34" ht="15.75">
      <c r="A555" s="125"/>
      <c r="B555" s="34"/>
      <c r="C555" s="93"/>
      <c r="D555" s="97"/>
      <c r="E555" s="97"/>
      <c r="F555" s="97"/>
      <c r="G555" s="97"/>
      <c r="H555" s="97"/>
      <c r="I555" s="97"/>
      <c r="J555" s="79"/>
      <c r="K555" s="79"/>
      <c r="L555" s="79"/>
      <c r="AB555" s="123"/>
      <c r="AC555" s="123"/>
      <c r="AD555" s="123"/>
      <c r="AE555" s="123"/>
      <c r="AF555" s="123"/>
      <c r="AG555" s="123"/>
      <c r="AH555" s="122"/>
    </row>
    <row r="556" spans="1:34" ht="15.75">
      <c r="A556" s="125"/>
      <c r="B556" s="34"/>
      <c r="C556" s="98"/>
      <c r="D556" s="97"/>
      <c r="E556" s="99"/>
      <c r="F556" s="99"/>
      <c r="G556" s="99"/>
      <c r="H556" s="99"/>
      <c r="I556" s="99"/>
      <c r="J556" s="84"/>
      <c r="K556" s="84"/>
      <c r="L556" s="84"/>
      <c r="AB556" s="123"/>
      <c r="AC556" s="123"/>
      <c r="AD556" s="123"/>
      <c r="AE556" s="123"/>
      <c r="AF556" s="123"/>
      <c r="AG556" s="123"/>
      <c r="AH556" s="122"/>
    </row>
    <row r="557" spans="1:34" ht="15.75">
      <c r="A557" s="125"/>
      <c r="B557" s="34"/>
      <c r="C557" s="98"/>
      <c r="D557" s="84"/>
      <c r="E557" s="99"/>
      <c r="F557" s="99"/>
      <c r="G557" s="99"/>
      <c r="H557" s="99"/>
      <c r="I557" s="99"/>
      <c r="J557" s="84"/>
      <c r="K557" s="84"/>
      <c r="L557" s="84"/>
      <c r="AB557" s="123"/>
      <c r="AC557" s="123"/>
      <c r="AD557" s="123"/>
      <c r="AE557" s="123"/>
      <c r="AF557" s="123"/>
      <c r="AG557" s="123"/>
      <c r="AH557" s="122"/>
    </row>
    <row r="558" spans="1:34" ht="15.75">
      <c r="A558" s="125"/>
      <c r="B558" s="34"/>
      <c r="C558" s="81" t="s">
        <v>5</v>
      </c>
      <c r="D558" s="100">
        <f>+D545</f>
        <v>0</v>
      </c>
      <c r="E558" s="100">
        <f>+E279</f>
        <v>0</v>
      </c>
      <c r="F558" s="101">
        <f>+F15+D558-E558</f>
        <v>0</v>
      </c>
      <c r="G558" s="102">
        <f t="shared" ref="G558:L558" si="60">+G545</f>
        <v>0</v>
      </c>
      <c r="H558" s="102">
        <f t="shared" si="60"/>
        <v>0</v>
      </c>
      <c r="I558" s="102">
        <f t="shared" si="60"/>
        <v>0</v>
      </c>
      <c r="J558" s="102">
        <f t="shared" si="60"/>
        <v>0</v>
      </c>
      <c r="K558" s="102">
        <f t="shared" si="60"/>
        <v>0</v>
      </c>
      <c r="L558" s="102">
        <f t="shared" si="60"/>
        <v>0</v>
      </c>
      <c r="AB558" s="123"/>
      <c r="AC558" s="123"/>
      <c r="AD558" s="123"/>
      <c r="AE558" s="123"/>
      <c r="AF558" s="123"/>
      <c r="AG558" s="123"/>
      <c r="AH558" s="122"/>
    </row>
    <row r="559" spans="1:34" ht="15.75">
      <c r="A559" s="125"/>
      <c r="B559" s="34"/>
      <c r="C559" s="103"/>
      <c r="D559" s="104"/>
      <c r="E559" s="105"/>
      <c r="F559" s="105"/>
      <c r="G559" s="105"/>
      <c r="H559" s="105"/>
      <c r="I559" s="105"/>
      <c r="J559" s="84"/>
      <c r="K559" s="84"/>
      <c r="L559" s="105"/>
      <c r="AB559" s="123"/>
      <c r="AC559" s="123"/>
      <c r="AD559" s="123"/>
      <c r="AE559" s="123"/>
      <c r="AF559" s="123"/>
      <c r="AG559" s="123"/>
      <c r="AH559" s="122"/>
    </row>
    <row r="560" spans="1:34" ht="15.75">
      <c r="A560" s="125"/>
      <c r="B560" s="34"/>
      <c r="C560" s="59" t="s">
        <v>65</v>
      </c>
      <c r="D560" s="106">
        <f>+COUNTIF(E16:E278,"&gt;0")</f>
        <v>0</v>
      </c>
      <c r="E560" s="31"/>
      <c r="F560" s="59"/>
      <c r="G560" s="59"/>
      <c r="H560" s="31"/>
      <c r="I560" s="31"/>
      <c r="J560" s="36"/>
      <c r="K560" s="107"/>
      <c r="L560" s="38"/>
    </row>
    <row r="561" spans="1:12" ht="15.75">
      <c r="A561" s="125"/>
      <c r="B561" s="34"/>
      <c r="C561" s="82" t="s">
        <v>66</v>
      </c>
      <c r="D561" s="106">
        <f>+COUNTIF(D286:D544,"&gt;0")</f>
        <v>0</v>
      </c>
      <c r="E561" s="36"/>
      <c r="F561" s="82"/>
      <c r="G561" s="82"/>
      <c r="H561" s="36"/>
      <c r="I561" s="36"/>
      <c r="J561" s="107"/>
      <c r="K561" s="107"/>
      <c r="L561" s="38"/>
    </row>
    <row r="562" spans="1:12" ht="15.75">
      <c r="A562" s="125"/>
      <c r="B562" s="34"/>
      <c r="C562" s="35"/>
      <c r="D562" s="36"/>
      <c r="E562" s="36"/>
      <c r="F562" s="82"/>
      <c r="G562" s="82"/>
      <c r="H562" s="36"/>
      <c r="I562" s="36"/>
      <c r="J562" s="36"/>
      <c r="K562" s="107"/>
      <c r="L562" s="38"/>
    </row>
    <row r="563" spans="1:12">
      <c r="A563" s="125"/>
      <c r="B563" s="34"/>
      <c r="C563" s="35"/>
      <c r="D563" s="36"/>
      <c r="E563" s="36"/>
      <c r="F563" s="36"/>
      <c r="G563" s="36"/>
      <c r="H563" s="36"/>
      <c r="I563" s="36"/>
      <c r="J563" s="36"/>
      <c r="K563" s="36"/>
      <c r="L563" s="38"/>
    </row>
    <row r="564" spans="1:12">
      <c r="A564" s="125"/>
      <c r="B564" s="34"/>
      <c r="C564" s="35"/>
      <c r="D564" s="36"/>
      <c r="E564" s="36"/>
      <c r="F564" s="36"/>
      <c r="G564" s="36"/>
      <c r="H564" s="36"/>
      <c r="I564" s="36"/>
      <c r="J564" s="36"/>
      <c r="K564" s="36"/>
      <c r="L564" s="38"/>
    </row>
    <row r="565" spans="1:12">
      <c r="A565" s="125"/>
      <c r="B565" s="34"/>
      <c r="C565" s="35"/>
      <c r="D565" s="36"/>
      <c r="E565" s="36"/>
      <c r="F565" s="36"/>
      <c r="G565" s="36"/>
      <c r="H565" s="36"/>
      <c r="I565" s="36"/>
      <c r="J565" s="36"/>
      <c r="K565" s="36"/>
      <c r="L565" s="38"/>
    </row>
    <row r="566" spans="1:12">
      <c r="A566" s="125"/>
      <c r="B566" s="34"/>
      <c r="C566" s="287"/>
      <c r="D566" s="288"/>
      <c r="E566" s="36"/>
      <c r="F566" s="36"/>
      <c r="G566" s="36"/>
      <c r="H566" s="36"/>
      <c r="I566" s="36"/>
      <c r="J566" s="36"/>
      <c r="K566" s="36"/>
      <c r="L566" s="38"/>
    </row>
    <row r="567" spans="1:12" ht="23.25">
      <c r="A567" s="125"/>
      <c r="B567" s="289"/>
      <c r="C567" s="290"/>
      <c r="D567" s="291"/>
      <c r="E567" s="36"/>
      <c r="F567" s="36"/>
      <c r="G567" s="36"/>
      <c r="H567" s="36"/>
      <c r="I567" s="36"/>
      <c r="J567" s="36"/>
      <c r="K567" s="36"/>
      <c r="L567" s="38"/>
    </row>
    <row r="568" spans="1:12" ht="23.25">
      <c r="A568" s="125"/>
      <c r="B568" s="292"/>
      <c r="C568" s="293" t="s">
        <v>295</v>
      </c>
      <c r="D568" s="291"/>
      <c r="E568" s="36"/>
      <c r="F568" s="36"/>
      <c r="G568" s="36"/>
      <c r="H568" s="36"/>
      <c r="I568" s="36"/>
      <c r="J568" s="36"/>
      <c r="K568" s="36"/>
      <c r="L568" s="38"/>
    </row>
    <row r="569" spans="1:12" ht="23.25">
      <c r="A569" s="125"/>
      <c r="B569" s="292"/>
      <c r="C569" s="216"/>
      <c r="D569" s="291"/>
      <c r="E569" s="36"/>
      <c r="F569" s="36"/>
      <c r="G569" s="36"/>
      <c r="H569" s="36"/>
      <c r="I569" s="36"/>
      <c r="J569" s="36"/>
      <c r="K569" s="36"/>
      <c r="L569" s="38"/>
    </row>
    <row r="570" spans="1:12" ht="23.25">
      <c r="A570" s="125"/>
      <c r="B570" s="292"/>
      <c r="C570" s="216"/>
      <c r="D570" s="291"/>
      <c r="E570" s="36"/>
      <c r="F570" s="36"/>
      <c r="G570" s="36"/>
      <c r="H570" s="36"/>
      <c r="I570" s="36"/>
      <c r="J570" s="36"/>
      <c r="K570" s="36"/>
      <c r="L570" s="38"/>
    </row>
    <row r="571" spans="1:12" ht="23.25">
      <c r="A571" s="125"/>
      <c r="B571" s="292"/>
      <c r="C571" s="290"/>
      <c r="D571" s="291"/>
      <c r="E571" s="36"/>
      <c r="F571" s="36"/>
      <c r="G571" s="36"/>
      <c r="H571" s="36"/>
      <c r="I571" s="36"/>
      <c r="J571" s="36"/>
      <c r="K571" s="36"/>
      <c r="L571" s="38"/>
    </row>
    <row r="572" spans="1:12" ht="23.25">
      <c r="A572" s="125"/>
      <c r="B572" s="292"/>
      <c r="C572" s="294" t="s">
        <v>294</v>
      </c>
      <c r="D572" s="291"/>
      <c r="E572" s="36"/>
      <c r="F572" s="36"/>
      <c r="G572" s="36"/>
      <c r="H572" s="36"/>
      <c r="I572" s="36"/>
      <c r="J572" s="36"/>
      <c r="K572" s="36"/>
      <c r="L572" s="38"/>
    </row>
    <row r="573" spans="1:12" ht="23.25">
      <c r="A573" s="125"/>
      <c r="B573" s="295"/>
      <c r="C573" s="296"/>
      <c r="D573" s="297"/>
      <c r="E573" s="45"/>
      <c r="F573" s="45"/>
      <c r="G573" s="45"/>
      <c r="H573" s="45"/>
      <c r="I573" s="45"/>
      <c r="J573" s="45"/>
      <c r="K573" s="45"/>
      <c r="L573" s="46"/>
    </row>
    <row r="574" spans="1:12">
      <c r="A574" s="125"/>
    </row>
    <row r="575" spans="1:12">
      <c r="A575" s="125"/>
    </row>
    <row r="576" spans="1:12">
      <c r="A576" s="125"/>
    </row>
    <row r="577" spans="1:1">
      <c r="A577" s="125"/>
    </row>
    <row r="578" spans="1:1">
      <c r="A578" s="125"/>
    </row>
    <row r="579" spans="1:1">
      <c r="A579" s="125"/>
    </row>
    <row r="580" spans="1:1">
      <c r="A580" s="125"/>
    </row>
    <row r="581" spans="1:1">
      <c r="A581" s="125"/>
    </row>
    <row r="582" spans="1:1">
      <c r="A582" s="125"/>
    </row>
    <row r="583" spans="1:1">
      <c r="A583" s="125"/>
    </row>
    <row r="584" spans="1:1">
      <c r="A584" s="125"/>
    </row>
    <row r="585" spans="1:1">
      <c r="A585" s="125"/>
    </row>
    <row r="586" spans="1:1">
      <c r="A586" s="125"/>
    </row>
    <row r="587" spans="1:1">
      <c r="A587" s="125"/>
    </row>
    <row r="588" spans="1:1">
      <c r="A588" s="125"/>
    </row>
    <row r="589" spans="1:1">
      <c r="A589" s="125"/>
    </row>
    <row r="590" spans="1:1">
      <c r="A590" s="125"/>
    </row>
    <row r="591" spans="1:1">
      <c r="A591" s="125"/>
    </row>
    <row r="592" spans="1:1">
      <c r="A592" s="125"/>
    </row>
    <row r="593" spans="1:1">
      <c r="A593" s="125"/>
    </row>
    <row r="594" spans="1:1">
      <c r="A594" s="125"/>
    </row>
    <row r="595" spans="1:1">
      <c r="A595" s="125"/>
    </row>
    <row r="596" spans="1:1">
      <c r="A596" s="125"/>
    </row>
    <row r="597" spans="1:1">
      <c r="A597" s="125"/>
    </row>
    <row r="598" spans="1:1">
      <c r="A598" s="125"/>
    </row>
    <row r="599" spans="1:1">
      <c r="A599" s="125"/>
    </row>
    <row r="600" spans="1:1">
      <c r="A600" s="125"/>
    </row>
    <row r="601" spans="1:1">
      <c r="A601" s="125"/>
    </row>
    <row r="602" spans="1:1">
      <c r="A602" s="125"/>
    </row>
    <row r="603" spans="1:1">
      <c r="A603" s="125"/>
    </row>
    <row r="604" spans="1:1">
      <c r="A604" s="125"/>
    </row>
    <row r="605" spans="1:1">
      <c r="A605" s="125"/>
    </row>
    <row r="606" spans="1:1">
      <c r="A606" s="125"/>
    </row>
    <row r="607" spans="1:1">
      <c r="A607" s="125"/>
    </row>
    <row r="608" spans="1:1">
      <c r="A608" s="125"/>
    </row>
    <row r="609" spans="1:1">
      <c r="A609" s="125"/>
    </row>
    <row r="610" spans="1:1">
      <c r="A610" s="125"/>
    </row>
    <row r="611" spans="1:1">
      <c r="A611" s="125"/>
    </row>
    <row r="612" spans="1:1">
      <c r="A612" s="125"/>
    </row>
    <row r="613" spans="1:1">
      <c r="A613" s="125"/>
    </row>
    <row r="614" spans="1:1">
      <c r="A614" s="125"/>
    </row>
    <row r="615" spans="1:1">
      <c r="A615" s="125"/>
    </row>
    <row r="616" spans="1:1">
      <c r="A616" s="125"/>
    </row>
    <row r="617" spans="1:1">
      <c r="A617" s="125"/>
    </row>
    <row r="618" spans="1:1">
      <c r="A618" s="125"/>
    </row>
    <row r="619" spans="1:1">
      <c r="A619" s="125"/>
    </row>
    <row r="620" spans="1:1">
      <c r="A620" s="125"/>
    </row>
    <row r="621" spans="1:1">
      <c r="A621" s="125"/>
    </row>
    <row r="622" spans="1:1">
      <c r="A622" s="125"/>
    </row>
    <row r="623" spans="1:1">
      <c r="A623" s="125"/>
    </row>
    <row r="624" spans="1:1">
      <c r="A624" s="125"/>
    </row>
    <row r="625" spans="1:1">
      <c r="A625" s="125"/>
    </row>
    <row r="626" spans="1:1">
      <c r="A626" s="125"/>
    </row>
    <row r="627" spans="1:1">
      <c r="A627" s="125"/>
    </row>
    <row r="628" spans="1:1">
      <c r="A628" s="125"/>
    </row>
    <row r="629" spans="1:1">
      <c r="A629" s="125"/>
    </row>
    <row r="630" spans="1:1">
      <c r="A630" s="125"/>
    </row>
    <row r="631" spans="1:1">
      <c r="A631" s="125"/>
    </row>
    <row r="632" spans="1:1">
      <c r="A632" s="125"/>
    </row>
    <row r="633" spans="1:1">
      <c r="A633" s="125"/>
    </row>
    <row r="634" spans="1:1">
      <c r="A634" s="125"/>
    </row>
    <row r="635" spans="1:1">
      <c r="A635" s="125"/>
    </row>
    <row r="636" spans="1:1">
      <c r="A636" s="125"/>
    </row>
    <row r="637" spans="1:1">
      <c r="A637" s="125"/>
    </row>
    <row r="638" spans="1:1">
      <c r="A638" s="125"/>
    </row>
    <row r="639" spans="1:1">
      <c r="A639" s="125"/>
    </row>
    <row r="640" spans="1:1">
      <c r="A640" s="125"/>
    </row>
    <row r="641" spans="1:1">
      <c r="A641" s="125"/>
    </row>
    <row r="642" spans="1:1">
      <c r="A642" s="125"/>
    </row>
    <row r="643" spans="1:1">
      <c r="A643" s="125"/>
    </row>
    <row r="644" spans="1:1">
      <c r="A644" s="125"/>
    </row>
    <row r="645" spans="1:1">
      <c r="A645" s="125"/>
    </row>
    <row r="646" spans="1:1">
      <c r="A646" s="125"/>
    </row>
    <row r="647" spans="1:1">
      <c r="A647" s="125"/>
    </row>
    <row r="648" spans="1:1">
      <c r="A648" s="125"/>
    </row>
    <row r="649" spans="1:1">
      <c r="A649" s="125"/>
    </row>
    <row r="650" spans="1:1">
      <c r="A650" s="125"/>
    </row>
    <row r="651" spans="1:1">
      <c r="A651" s="125"/>
    </row>
    <row r="652" spans="1:1">
      <c r="A652" s="125"/>
    </row>
    <row r="653" spans="1:1">
      <c r="A653" s="125"/>
    </row>
    <row r="654" spans="1:1">
      <c r="A654" s="125"/>
    </row>
    <row r="655" spans="1:1">
      <c r="A655" s="125"/>
    </row>
    <row r="656" spans="1:1">
      <c r="A656" s="125"/>
    </row>
    <row r="657" spans="1:1">
      <c r="A657" s="125"/>
    </row>
    <row r="658" spans="1:1">
      <c r="A658" s="125"/>
    </row>
    <row r="659" spans="1:1">
      <c r="A659" s="125"/>
    </row>
    <row r="660" spans="1:1">
      <c r="A660" s="125"/>
    </row>
    <row r="661" spans="1:1">
      <c r="A661" s="125"/>
    </row>
    <row r="662" spans="1:1">
      <c r="A662" s="125"/>
    </row>
    <row r="663" spans="1:1">
      <c r="A663" s="125"/>
    </row>
    <row r="664" spans="1:1">
      <c r="A664" s="125"/>
    </row>
    <row r="665" spans="1:1">
      <c r="A665" s="125"/>
    </row>
    <row r="666" spans="1:1">
      <c r="A666" s="125"/>
    </row>
    <row r="667" spans="1:1">
      <c r="A667" s="125"/>
    </row>
    <row r="668" spans="1:1">
      <c r="A668" s="125"/>
    </row>
    <row r="669" spans="1:1">
      <c r="A669" s="125"/>
    </row>
    <row r="670" spans="1:1">
      <c r="A670" s="125"/>
    </row>
    <row r="671" spans="1:1">
      <c r="A671" s="125"/>
    </row>
    <row r="672" spans="1:1">
      <c r="A672" s="125"/>
    </row>
    <row r="673" spans="1:1">
      <c r="A673" s="125"/>
    </row>
    <row r="674" spans="1:1">
      <c r="A674" s="125"/>
    </row>
    <row r="675" spans="1:1">
      <c r="A675" s="125"/>
    </row>
    <row r="676" spans="1:1">
      <c r="A676" s="125"/>
    </row>
    <row r="677" spans="1:1">
      <c r="A677" s="125"/>
    </row>
    <row r="678" spans="1:1">
      <c r="A678" s="125"/>
    </row>
    <row r="679" spans="1:1">
      <c r="A679" s="125"/>
    </row>
    <row r="680" spans="1:1">
      <c r="A680" s="125"/>
    </row>
    <row r="681" spans="1:1">
      <c r="A681" s="125"/>
    </row>
    <row r="682" spans="1:1">
      <c r="A682" s="125"/>
    </row>
    <row r="683" spans="1:1">
      <c r="A683" s="125"/>
    </row>
    <row r="684" spans="1:1">
      <c r="A684" s="125"/>
    </row>
    <row r="685" spans="1:1">
      <c r="A685" s="125"/>
    </row>
    <row r="686" spans="1:1">
      <c r="A686" s="125"/>
    </row>
    <row r="687" spans="1:1">
      <c r="A687" s="125"/>
    </row>
    <row r="688" spans="1:1">
      <c r="A688" s="125"/>
    </row>
    <row r="689" spans="1:1">
      <c r="A689" s="125"/>
    </row>
    <row r="690" spans="1:1">
      <c r="A690" s="125"/>
    </row>
    <row r="691" spans="1:1">
      <c r="A691" s="125"/>
    </row>
    <row r="692" spans="1:1">
      <c r="A692" s="125"/>
    </row>
    <row r="693" spans="1:1">
      <c r="A693" s="125"/>
    </row>
    <row r="694" spans="1:1">
      <c r="A694" s="125"/>
    </row>
    <row r="695" spans="1:1">
      <c r="A695" s="125"/>
    </row>
    <row r="696" spans="1:1">
      <c r="A696" s="125"/>
    </row>
    <row r="697" spans="1:1">
      <c r="A697" s="125"/>
    </row>
    <row r="698" spans="1:1">
      <c r="A698" s="125"/>
    </row>
    <row r="699" spans="1:1">
      <c r="A699" s="125"/>
    </row>
    <row r="700" spans="1:1">
      <c r="A700" s="125"/>
    </row>
    <row r="701" spans="1:1">
      <c r="A701" s="125"/>
    </row>
    <row r="702" spans="1:1">
      <c r="A702" s="125"/>
    </row>
    <row r="703" spans="1:1">
      <c r="A703" s="125"/>
    </row>
    <row r="704" spans="1:1">
      <c r="A704" s="125"/>
    </row>
    <row r="705" spans="1:1">
      <c r="A705" s="125"/>
    </row>
    <row r="706" spans="1:1">
      <c r="A706" s="125"/>
    </row>
    <row r="707" spans="1:1">
      <c r="A707" s="125"/>
    </row>
    <row r="708" spans="1:1">
      <c r="A708" s="125"/>
    </row>
    <row r="709" spans="1:1">
      <c r="A709" s="125"/>
    </row>
    <row r="710" spans="1:1">
      <c r="A710" s="125"/>
    </row>
    <row r="711" spans="1:1">
      <c r="A711" s="125"/>
    </row>
    <row r="712" spans="1:1">
      <c r="A712" s="125"/>
    </row>
    <row r="713" spans="1:1">
      <c r="A713" s="125"/>
    </row>
    <row r="714" spans="1:1">
      <c r="A714" s="125"/>
    </row>
    <row r="715" spans="1:1">
      <c r="A715" s="125"/>
    </row>
    <row r="716" spans="1:1">
      <c r="A716" s="125"/>
    </row>
    <row r="717" spans="1:1">
      <c r="A717" s="125"/>
    </row>
    <row r="718" spans="1:1">
      <c r="A718" s="125"/>
    </row>
    <row r="719" spans="1:1">
      <c r="A719" s="125"/>
    </row>
    <row r="720" spans="1:1">
      <c r="A720" s="125"/>
    </row>
    <row r="721" spans="1:1">
      <c r="A721" s="125"/>
    </row>
    <row r="722" spans="1:1">
      <c r="A722" s="125"/>
    </row>
    <row r="723" spans="1:1">
      <c r="A723" s="125"/>
    </row>
    <row r="724" spans="1:1">
      <c r="A724" s="125"/>
    </row>
    <row r="725" spans="1:1">
      <c r="A725" s="125"/>
    </row>
    <row r="726" spans="1:1">
      <c r="A726" s="125"/>
    </row>
    <row r="727" spans="1:1">
      <c r="A727" s="125"/>
    </row>
    <row r="728" spans="1:1">
      <c r="A728" s="125"/>
    </row>
    <row r="729" spans="1:1">
      <c r="A729" s="125"/>
    </row>
    <row r="730" spans="1:1">
      <c r="A730" s="125"/>
    </row>
    <row r="731" spans="1:1">
      <c r="A731" s="125"/>
    </row>
    <row r="732" spans="1:1">
      <c r="A732" s="125"/>
    </row>
    <row r="733" spans="1:1">
      <c r="A733" s="125"/>
    </row>
    <row r="734" spans="1:1">
      <c r="A734" s="125"/>
    </row>
  </sheetData>
  <sheetProtection formatCells="0" formatColumns="0" formatRows="0" insertColumns="0" insertRows="0" insertHyperlinks="0" deleteColumns="0" deleteRows="0" selectLockedCells="1" sort="0" autoFilter="0" pivotTables="0"/>
  <autoFilter ref="A15:L546">
    <filterColumn colId="4"/>
  </autoFilter>
  <mergeCells count="3">
    <mergeCell ref="I3:J3"/>
    <mergeCell ref="I553:L553"/>
    <mergeCell ref="I549:L549"/>
  </mergeCells>
  <phoneticPr fontId="0" type="noConversion"/>
  <conditionalFormatting sqref="C281 A16:D16 AI16:IC16 A15:A546 L16:AA16 F16:L278">
    <cfRule type="expression" dxfId="4" priority="49" stopIfTrue="1">
      <formula>"TIPO(G21)=0"</formula>
    </cfRule>
    <cfRule type="expression" dxfId="3" priority="50" stopIfTrue="1">
      <formula>"TIPO(G21)=0"</formula>
    </cfRule>
  </conditionalFormatting>
  <printOptions horizontalCentered="1"/>
  <pageMargins left="0.15748031496062992" right="0.15748031496062992" top="0.51181102362204722" bottom="0.23622047244094491" header="0.23622047244094491" footer="0"/>
  <pageSetup scale="31" fitToWidth="2" fitToHeight="2" orientation="landscape" r:id="rId1"/>
  <headerFooter alignWithMargins="0"/>
  <rowBreaks count="1" manualBreakCount="1">
    <brk id="285" min="1" max="11" man="1"/>
  </rowBreaks>
  <ignoredErrors>
    <ignoredError sqref="D281:D292 D558:L558 D560:D561 I281:L331 F344:G344 D540:E544 D400:D441 D329:D398 H540:L545 I332:K333 D294:D327 I270:L270 B540:B544 H16:L269 H274:L280 B15 E273:E279 E16:E272 H271:L272 B281:B538 I334:L538 D442:D538 H282:H538 E281:E538 E545 B539:AI539 H273:L273" unlockedFormula="1"/>
    <ignoredError sqref="D293 D328 D399" formula="1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>
    <outlinePr summaryRight="0"/>
  </sheetPr>
  <dimension ref="B1:Z1925"/>
  <sheetViews>
    <sheetView showGridLines="0" zoomScaleNormal="100" zoomScaleSheetLayoutView="100" workbookViewId="0">
      <selection activeCell="F3" sqref="F3:G3"/>
    </sheetView>
  </sheetViews>
  <sheetFormatPr baseColWidth="10" defaultRowHeight="12"/>
  <cols>
    <col min="1" max="1" width="1.85546875" style="1" customWidth="1"/>
    <col min="2" max="2" width="9.140625" style="116" customWidth="1"/>
    <col min="3" max="3" width="21.28515625" style="131" bestFit="1" customWidth="1"/>
    <col min="4" max="4" width="35" style="132" customWidth="1"/>
    <col min="5" max="5" width="16.7109375" style="133" customWidth="1"/>
    <col min="6" max="6" width="16.5703125" style="133" customWidth="1"/>
    <col min="7" max="7" width="18.7109375" style="133" customWidth="1"/>
    <col min="8" max="8" width="16" style="133" customWidth="1"/>
    <col min="9" max="9" width="3" style="140" customWidth="1"/>
    <col min="10" max="10" width="2" style="135" customWidth="1"/>
    <col min="11" max="11" width="14.7109375" style="116" customWidth="1"/>
    <col min="12" max="12" width="13.7109375" style="1" customWidth="1"/>
    <col min="13" max="13" width="6.85546875" style="1" customWidth="1"/>
    <col min="14" max="14" width="11.7109375" style="1" customWidth="1"/>
    <col min="15" max="22" width="11.42578125" style="1"/>
    <col min="23" max="25" width="11.42578125" style="10"/>
    <col min="26" max="16384" width="11.42578125" style="1"/>
  </cols>
  <sheetData>
    <row r="1" spans="2:25">
      <c r="I1" s="134"/>
      <c r="W1" s="1"/>
      <c r="X1" s="1"/>
      <c r="Y1" s="1"/>
    </row>
    <row r="2" spans="2:25">
      <c r="C2" s="136"/>
      <c r="D2" s="137"/>
      <c r="E2" s="138"/>
      <c r="F2" s="138"/>
      <c r="G2" s="138"/>
      <c r="H2" s="139"/>
      <c r="W2" s="1"/>
      <c r="X2" s="1"/>
      <c r="Y2" s="1"/>
    </row>
    <row r="3" spans="2:25">
      <c r="C3" s="141"/>
      <c r="D3" s="142"/>
      <c r="E3" s="143"/>
      <c r="F3" s="306">
        <v>41220</v>
      </c>
      <c r="G3" s="306"/>
      <c r="H3" s="144"/>
      <c r="W3" s="1"/>
      <c r="X3" s="1"/>
      <c r="Y3" s="1"/>
    </row>
    <row r="4" spans="2:25">
      <c r="C4" s="141"/>
      <c r="D4" s="142"/>
      <c r="E4" s="145"/>
      <c r="F4" s="145" t="s">
        <v>291</v>
      </c>
      <c r="G4" s="146"/>
      <c r="H4" s="144"/>
      <c r="W4" s="1"/>
      <c r="X4" s="1"/>
      <c r="Y4" s="1"/>
    </row>
    <row r="5" spans="2:25">
      <c r="C5" s="141"/>
      <c r="D5" s="134"/>
      <c r="E5" s="147"/>
      <c r="F5" s="145"/>
      <c r="G5" s="145"/>
      <c r="H5" s="144"/>
      <c r="W5" s="1"/>
      <c r="X5" s="1"/>
      <c r="Y5" s="1"/>
    </row>
    <row r="6" spans="2:25">
      <c r="C6" s="141"/>
      <c r="D6" s="148" t="s">
        <v>0</v>
      </c>
      <c r="E6" s="147"/>
      <c r="F6" s="145"/>
      <c r="G6" s="145"/>
      <c r="H6" s="144"/>
      <c r="W6" s="1"/>
      <c r="X6" s="1"/>
      <c r="Y6" s="1"/>
    </row>
    <row r="7" spans="2:25">
      <c r="C7" s="149"/>
      <c r="D7" s="150"/>
      <c r="E7" s="151"/>
      <c r="F7" s="151"/>
      <c r="G7" s="151"/>
      <c r="H7" s="152"/>
      <c r="W7" s="1"/>
      <c r="X7" s="1"/>
      <c r="Y7" s="1"/>
    </row>
    <row r="8" spans="2:25" ht="12.75" thickBot="1">
      <c r="C8" s="153"/>
      <c r="D8" s="154"/>
      <c r="E8" s="155"/>
      <c r="F8" s="155"/>
      <c r="G8" s="156"/>
      <c r="H8" s="157"/>
      <c r="K8" s="118"/>
      <c r="L8" s="4"/>
      <c r="M8" s="4"/>
      <c r="N8" s="4"/>
      <c r="W8" s="1"/>
      <c r="X8" s="1"/>
      <c r="Y8" s="1"/>
    </row>
    <row r="9" spans="2:25" s="3" customFormat="1" ht="24.75" thickTop="1">
      <c r="B9" s="117"/>
      <c r="C9" s="158" t="s">
        <v>1</v>
      </c>
      <c r="D9" s="159" t="s">
        <v>2</v>
      </c>
      <c r="E9" s="160" t="s">
        <v>3</v>
      </c>
      <c r="F9" s="160" t="s">
        <v>4</v>
      </c>
      <c r="G9" s="161" t="s">
        <v>5</v>
      </c>
      <c r="H9" s="162">
        <v>20</v>
      </c>
      <c r="I9" s="163"/>
      <c r="J9" s="163"/>
      <c r="K9" s="8">
        <v>20</v>
      </c>
      <c r="L9" s="5"/>
      <c r="M9" s="5"/>
      <c r="N9" s="5"/>
    </row>
    <row r="10" spans="2:25" ht="14.25" customHeight="1">
      <c r="C10" s="164"/>
      <c r="D10" s="26"/>
      <c r="E10" s="165"/>
      <c r="F10" s="166"/>
      <c r="G10" s="166"/>
      <c r="H10" s="167"/>
      <c r="L10" s="9"/>
      <c r="M10" s="4"/>
      <c r="N10" s="4"/>
      <c r="W10" s="1"/>
      <c r="X10" s="1"/>
      <c r="Y10" s="1"/>
    </row>
    <row r="11" spans="2:25">
      <c r="C11" s="168">
        <f>+F3-1</f>
        <v>41219</v>
      </c>
      <c r="D11" s="169" t="s">
        <v>6</v>
      </c>
      <c r="E11" s="170"/>
      <c r="F11" s="171"/>
      <c r="G11" s="171">
        <v>0</v>
      </c>
      <c r="H11" s="172"/>
      <c r="L11" s="9"/>
      <c r="M11" s="4"/>
      <c r="N11" s="4"/>
      <c r="W11" s="1"/>
      <c r="X11" s="1"/>
      <c r="Y11" s="1"/>
    </row>
    <row r="12" spans="2:25">
      <c r="C12" s="168"/>
      <c r="D12" s="173" t="s">
        <v>287</v>
      </c>
      <c r="E12" s="170"/>
      <c r="F12" s="171"/>
      <c r="G12" s="171">
        <v>0</v>
      </c>
      <c r="H12" s="172"/>
      <c r="L12" s="9"/>
      <c r="M12" s="4"/>
      <c r="N12" s="4"/>
      <c r="W12" s="1"/>
      <c r="X12" s="1"/>
      <c r="Y12" s="1"/>
    </row>
    <row r="13" spans="2:25">
      <c r="C13" s="168"/>
      <c r="D13" s="173" t="s">
        <v>290</v>
      </c>
      <c r="E13" s="170"/>
      <c r="F13" s="171"/>
      <c r="G13" s="171">
        <v>0</v>
      </c>
      <c r="H13" s="172"/>
      <c r="L13" s="9"/>
      <c r="M13" s="4"/>
      <c r="N13" s="4"/>
      <c r="W13" s="1"/>
      <c r="X13" s="1"/>
      <c r="Y13" s="1"/>
    </row>
    <row r="14" spans="2:25">
      <c r="B14" s="116" t="s">
        <v>297</v>
      </c>
      <c r="C14" s="168">
        <f>+F3</f>
        <v>41220</v>
      </c>
      <c r="D14" s="174" t="s">
        <v>7</v>
      </c>
      <c r="E14" s="170"/>
      <c r="F14" s="170"/>
      <c r="G14" s="171">
        <f>SUBTOTAL(9,G11:G13)</f>
        <v>0</v>
      </c>
      <c r="H14" s="175"/>
      <c r="L14" s="9"/>
      <c r="M14" s="4"/>
      <c r="N14" s="4"/>
      <c r="W14" s="1"/>
      <c r="X14" s="1"/>
      <c r="Y14" s="1"/>
    </row>
    <row r="15" spans="2:25" ht="12" customHeight="1">
      <c r="B15" s="116">
        <v>1</v>
      </c>
      <c r="C15" s="176"/>
      <c r="D15" s="177" t="s">
        <v>8</v>
      </c>
      <c r="E15" s="178"/>
      <c r="F15" s="17">
        <f t="shared" ref="F15:F79" si="0">+SUM(H15:H15)</f>
        <v>0</v>
      </c>
      <c r="G15" s="17"/>
      <c r="H15" s="17">
        <f>IFERROR(VLOOKUP(B15,Cargas!$B$3:$I$93,8,FALSE),0)</f>
        <v>0</v>
      </c>
      <c r="K15" s="116">
        <f>+F15/$K$9</f>
        <v>0</v>
      </c>
      <c r="L15" s="6"/>
      <c r="M15" s="6"/>
      <c r="N15" s="4"/>
      <c r="W15" s="10">
        <f>+F15</f>
        <v>0</v>
      </c>
      <c r="X15" s="10">
        <f>+'MAYOR COLONES'!E16</f>
        <v>0</v>
      </c>
      <c r="Y15" s="10">
        <f>+X15+W15</f>
        <v>0</v>
      </c>
    </row>
    <row r="16" spans="2:25" ht="12" customHeight="1">
      <c r="B16" s="116">
        <v>2</v>
      </c>
      <c r="C16" s="176"/>
      <c r="D16" s="177" t="s">
        <v>9</v>
      </c>
      <c r="E16" s="178"/>
      <c r="F16" s="17">
        <f t="shared" si="0"/>
        <v>0</v>
      </c>
      <c r="G16" s="17"/>
      <c r="H16" s="17">
        <f>IFERROR(VLOOKUP(B16,Cargas!$B$3:$I$93,8,FALSE),0)</f>
        <v>0</v>
      </c>
      <c r="K16" s="116">
        <f t="shared" ref="K16:K78" si="1">+F16/$K$9</f>
        <v>0</v>
      </c>
      <c r="L16" s="6"/>
      <c r="M16" s="6"/>
      <c r="N16" s="4"/>
      <c r="W16" s="10">
        <f t="shared" ref="W16:W59" si="2">+F16</f>
        <v>0</v>
      </c>
      <c r="X16" s="10" t="e">
        <f>+'MAYOR COLONES'!#REF!</f>
        <v>#REF!</v>
      </c>
      <c r="Y16" s="10" t="e">
        <f t="shared" ref="Y16:Y59" si="3">+X16+W16</f>
        <v>#REF!</v>
      </c>
    </row>
    <row r="17" spans="2:25" ht="12" customHeight="1">
      <c r="B17" s="116">
        <v>3</v>
      </c>
      <c r="C17" s="179"/>
      <c r="D17" s="177" t="s">
        <v>10</v>
      </c>
      <c r="E17" s="178"/>
      <c r="F17" s="17">
        <f t="shared" si="0"/>
        <v>0</v>
      </c>
      <c r="G17" s="17"/>
      <c r="H17" s="17">
        <f>IFERROR(VLOOKUP(B17,Cargas!$B$3:$I$93,8,FALSE),0)</f>
        <v>0</v>
      </c>
      <c r="K17" s="116">
        <f t="shared" si="1"/>
        <v>0</v>
      </c>
      <c r="L17" s="6"/>
      <c r="M17" s="6"/>
      <c r="N17" s="4"/>
      <c r="W17" s="10">
        <f t="shared" si="2"/>
        <v>0</v>
      </c>
      <c r="X17" s="10">
        <f>+'MAYOR COLONES'!E19</f>
        <v>0</v>
      </c>
      <c r="Y17" s="10">
        <f t="shared" si="3"/>
        <v>0</v>
      </c>
    </row>
    <row r="18" spans="2:25" ht="12" customHeight="1">
      <c r="B18" s="116">
        <v>4</v>
      </c>
      <c r="C18" s="179"/>
      <c r="D18" s="177" t="s">
        <v>11</v>
      </c>
      <c r="E18" s="178"/>
      <c r="F18" s="17">
        <f t="shared" si="0"/>
        <v>0</v>
      </c>
      <c r="G18" s="17"/>
      <c r="H18" s="17">
        <f>IFERROR(VLOOKUP(B18,Cargas!$B$3:$I$93,8,FALSE),0)</f>
        <v>0</v>
      </c>
      <c r="K18" s="116">
        <f t="shared" si="1"/>
        <v>0</v>
      </c>
      <c r="L18" s="6"/>
      <c r="M18" s="6"/>
      <c r="N18" s="4"/>
      <c r="W18" s="10">
        <f t="shared" si="2"/>
        <v>0</v>
      </c>
      <c r="X18" s="10" t="e">
        <f>+'MAYOR COLONES'!#REF!</f>
        <v>#REF!</v>
      </c>
      <c r="Y18" s="10" t="e">
        <f t="shared" si="3"/>
        <v>#REF!</v>
      </c>
    </row>
    <row r="19" spans="2:25" ht="12" customHeight="1">
      <c r="B19" s="116">
        <v>5</v>
      </c>
      <c r="C19" s="176"/>
      <c r="D19" s="177" t="s">
        <v>12</v>
      </c>
      <c r="E19" s="178"/>
      <c r="F19" s="17">
        <f t="shared" si="0"/>
        <v>0</v>
      </c>
      <c r="G19" s="17"/>
      <c r="H19" s="17">
        <f>IFERROR(VLOOKUP(B19,Cargas!$B$3:$I$93,8,FALSE),0)</f>
        <v>0</v>
      </c>
      <c r="K19" s="116">
        <f t="shared" si="1"/>
        <v>0</v>
      </c>
      <c r="L19" s="6"/>
      <c r="M19" s="6"/>
      <c r="N19" s="4"/>
      <c r="W19" s="10">
        <f t="shared" si="2"/>
        <v>0</v>
      </c>
      <c r="X19" s="10">
        <f>+'MAYOR COLONES'!E22</f>
        <v>0</v>
      </c>
      <c r="Y19" s="10">
        <f t="shared" si="3"/>
        <v>0</v>
      </c>
    </row>
    <row r="20" spans="2:25" ht="12" customHeight="1">
      <c r="B20" s="116">
        <v>6</v>
      </c>
      <c r="C20" s="176"/>
      <c r="D20" s="177" t="s">
        <v>13</v>
      </c>
      <c r="E20" s="178"/>
      <c r="F20" s="17">
        <f t="shared" si="0"/>
        <v>0</v>
      </c>
      <c r="G20" s="17"/>
      <c r="H20" s="17">
        <f>IFERROR(VLOOKUP(B20,Cargas!$B$3:$I$93,8,FALSE),0)</f>
        <v>0</v>
      </c>
      <c r="K20" s="116">
        <f t="shared" si="1"/>
        <v>0</v>
      </c>
      <c r="L20" s="6"/>
      <c r="M20" s="6"/>
      <c r="N20" s="4"/>
      <c r="W20" s="10">
        <f t="shared" si="2"/>
        <v>0</v>
      </c>
      <c r="X20" s="10" t="e">
        <f>+'MAYOR COLONES'!#REF!</f>
        <v>#REF!</v>
      </c>
      <c r="Y20" s="10" t="e">
        <f t="shared" si="3"/>
        <v>#REF!</v>
      </c>
    </row>
    <row r="21" spans="2:25" ht="12" customHeight="1">
      <c r="B21" s="116">
        <v>7</v>
      </c>
      <c r="C21" s="176"/>
      <c r="D21" s="177" t="s">
        <v>14</v>
      </c>
      <c r="E21" s="178"/>
      <c r="F21" s="17">
        <f t="shared" si="0"/>
        <v>0</v>
      </c>
      <c r="G21" s="17"/>
      <c r="H21" s="17">
        <f>IFERROR(VLOOKUP(B21,Cargas!$B$3:$I$93,8,FALSE),0)</f>
        <v>0</v>
      </c>
      <c r="K21" s="116">
        <f t="shared" si="1"/>
        <v>0</v>
      </c>
      <c r="L21" s="6"/>
      <c r="M21" s="6"/>
      <c r="N21" s="4"/>
      <c r="W21" s="10">
        <f t="shared" si="2"/>
        <v>0</v>
      </c>
      <c r="X21" s="10">
        <f>+'MAYOR COLONES'!E25</f>
        <v>0</v>
      </c>
      <c r="Y21" s="10">
        <f t="shared" si="3"/>
        <v>0</v>
      </c>
    </row>
    <row r="22" spans="2:25" ht="12" customHeight="1">
      <c r="B22" s="116">
        <v>8</v>
      </c>
      <c r="C22" s="176"/>
      <c r="D22" s="177" t="s">
        <v>15</v>
      </c>
      <c r="E22" s="178"/>
      <c r="F22" s="17">
        <f t="shared" si="0"/>
        <v>0</v>
      </c>
      <c r="G22" s="17"/>
      <c r="H22" s="17">
        <f>IFERROR(VLOOKUP(B22,Cargas!$B$3:$I$93,8,FALSE),0)</f>
        <v>0</v>
      </c>
      <c r="K22" s="116">
        <f t="shared" si="1"/>
        <v>0</v>
      </c>
      <c r="L22" s="6"/>
      <c r="M22" s="6"/>
      <c r="N22" s="4"/>
      <c r="W22" s="10">
        <f t="shared" si="2"/>
        <v>0</v>
      </c>
      <c r="X22" s="10" t="e">
        <f>+'MAYOR COLONES'!#REF!</f>
        <v>#REF!</v>
      </c>
      <c r="Y22" s="10" t="e">
        <f t="shared" si="3"/>
        <v>#REF!</v>
      </c>
    </row>
    <row r="23" spans="2:25">
      <c r="B23" s="116">
        <v>9</v>
      </c>
      <c r="C23" s="176"/>
      <c r="D23" s="180" t="s">
        <v>16</v>
      </c>
      <c r="E23" s="181"/>
      <c r="F23" s="17">
        <f t="shared" ref="F23:F31" si="4">+SUM(H23:H23)</f>
        <v>0</v>
      </c>
      <c r="G23" s="17"/>
      <c r="H23" s="17">
        <f>IFERROR(VLOOKUP(B23,Cargas!$B$3:$I$93,8,FALSE),0)</f>
        <v>0</v>
      </c>
      <c r="K23" s="116">
        <f t="shared" si="1"/>
        <v>0</v>
      </c>
      <c r="L23" s="6"/>
      <c r="M23" s="6"/>
      <c r="N23" s="4"/>
      <c r="W23" s="10">
        <f t="shared" si="2"/>
        <v>0</v>
      </c>
      <c r="X23" s="10">
        <f>+'MAYOR COLONES'!E29</f>
        <v>0</v>
      </c>
      <c r="Y23" s="10">
        <f t="shared" si="3"/>
        <v>0</v>
      </c>
    </row>
    <row r="24" spans="2:25" ht="12" customHeight="1">
      <c r="B24" s="116">
        <v>10</v>
      </c>
      <c r="C24" s="176"/>
      <c r="D24" s="177" t="s">
        <v>17</v>
      </c>
      <c r="E24" s="178"/>
      <c r="F24" s="17">
        <f t="shared" si="4"/>
        <v>0</v>
      </c>
      <c r="G24" s="17"/>
      <c r="H24" s="17">
        <f>IFERROR(VLOOKUP(B24,Cargas!$B$3:$I$93,8,FALSE),0)</f>
        <v>0</v>
      </c>
      <c r="K24" s="116">
        <f t="shared" si="1"/>
        <v>0</v>
      </c>
      <c r="L24" s="6"/>
      <c r="M24" s="6"/>
      <c r="N24" s="4"/>
      <c r="W24" s="10">
        <f t="shared" si="2"/>
        <v>0</v>
      </c>
      <c r="X24" s="10">
        <f>+'MAYOR COLONES'!E32</f>
        <v>0</v>
      </c>
      <c r="Y24" s="10">
        <f t="shared" si="3"/>
        <v>0</v>
      </c>
    </row>
    <row r="25" spans="2:25" ht="12" customHeight="1">
      <c r="B25" s="116">
        <v>11</v>
      </c>
      <c r="C25" s="176"/>
      <c r="D25" s="177" t="s">
        <v>18</v>
      </c>
      <c r="E25" s="178"/>
      <c r="F25" s="17">
        <f t="shared" si="4"/>
        <v>0</v>
      </c>
      <c r="G25" s="17"/>
      <c r="H25" s="17">
        <f>IFERROR(VLOOKUP(B25,Cargas!$B$3:$I$93,8,FALSE),0)</f>
        <v>0</v>
      </c>
      <c r="K25" s="116">
        <f t="shared" si="1"/>
        <v>0</v>
      </c>
      <c r="L25" s="6"/>
      <c r="M25" s="6"/>
      <c r="N25" s="4"/>
      <c r="W25" s="10">
        <f t="shared" si="2"/>
        <v>0</v>
      </c>
      <c r="X25" s="10">
        <f>+'MAYOR COLONES'!E35</f>
        <v>0</v>
      </c>
      <c r="Y25" s="10">
        <f t="shared" si="3"/>
        <v>0</v>
      </c>
    </row>
    <row r="26" spans="2:25" ht="12" customHeight="1">
      <c r="B26" s="116">
        <v>12</v>
      </c>
      <c r="C26" s="176"/>
      <c r="D26" s="177" t="s">
        <v>156</v>
      </c>
      <c r="E26" s="178"/>
      <c r="F26" s="17">
        <f t="shared" si="4"/>
        <v>0</v>
      </c>
      <c r="G26" s="17"/>
      <c r="H26" s="17">
        <f>IFERROR(VLOOKUP(B26,Cargas!$B$3:$I$93,8,FALSE),0)</f>
        <v>0</v>
      </c>
      <c r="K26" s="116">
        <f t="shared" si="1"/>
        <v>0</v>
      </c>
      <c r="L26" s="6"/>
      <c r="M26" s="6"/>
      <c r="N26" s="4"/>
      <c r="W26" s="10">
        <f>+F26</f>
        <v>0</v>
      </c>
      <c r="X26" s="10">
        <f>+'MAYOR COLONES'!E37</f>
        <v>0</v>
      </c>
      <c r="Y26" s="10">
        <f>+X26+W26</f>
        <v>0</v>
      </c>
    </row>
    <row r="27" spans="2:25" s="2" customFormat="1">
      <c r="B27" s="116">
        <v>13</v>
      </c>
      <c r="C27" s="176"/>
      <c r="D27" s="177" t="s">
        <v>157</v>
      </c>
      <c r="E27" s="178"/>
      <c r="F27" s="17">
        <f t="shared" si="4"/>
        <v>0</v>
      </c>
      <c r="G27" s="17"/>
      <c r="H27" s="17">
        <f>IFERROR(VLOOKUP(B27,Cargas!$B$3:$I$93,8,FALSE),0)</f>
        <v>0</v>
      </c>
      <c r="I27" s="182"/>
      <c r="J27" s="183"/>
      <c r="K27" s="116">
        <f t="shared" si="1"/>
        <v>0</v>
      </c>
      <c r="L27" s="6"/>
      <c r="M27" s="6"/>
      <c r="N27" s="11"/>
      <c r="W27" s="10">
        <f>+F27</f>
        <v>0</v>
      </c>
      <c r="X27" s="10" t="e">
        <f>+'MAYOR COLONES'!#REF!</f>
        <v>#REF!</v>
      </c>
      <c r="Y27" s="10" t="e">
        <f>+X27+W27</f>
        <v>#REF!</v>
      </c>
    </row>
    <row r="28" spans="2:25" s="2" customFormat="1" ht="12" customHeight="1">
      <c r="B28" s="116">
        <v>14</v>
      </c>
      <c r="C28" s="176"/>
      <c r="D28" s="177" t="s">
        <v>241</v>
      </c>
      <c r="E28" s="178"/>
      <c r="F28" s="17">
        <f t="shared" si="4"/>
        <v>0</v>
      </c>
      <c r="G28" s="17"/>
      <c r="H28" s="17">
        <f>IFERROR(VLOOKUP(B28,Cargas!$B$3:$I$93,8,FALSE),0)</f>
        <v>0</v>
      </c>
      <c r="I28" s="182"/>
      <c r="J28" s="183"/>
      <c r="K28" s="116">
        <f t="shared" si="1"/>
        <v>0</v>
      </c>
      <c r="L28" s="6"/>
      <c r="M28" s="6"/>
      <c r="N28" s="11"/>
      <c r="W28" s="10">
        <f>+F28</f>
        <v>0</v>
      </c>
      <c r="X28" s="10">
        <f>+'MAYOR COLONES'!E38</f>
        <v>0</v>
      </c>
      <c r="Y28" s="10">
        <f>+X28+W28</f>
        <v>0</v>
      </c>
    </row>
    <row r="29" spans="2:25" ht="12" customHeight="1">
      <c r="B29" s="116">
        <v>15</v>
      </c>
      <c r="C29" s="176"/>
      <c r="D29" s="177" t="s">
        <v>158</v>
      </c>
      <c r="E29" s="178"/>
      <c r="F29" s="17">
        <f t="shared" si="4"/>
        <v>0</v>
      </c>
      <c r="G29" s="17"/>
      <c r="H29" s="17">
        <f>IFERROR(VLOOKUP(B29,Cargas!$B$3:$I$93,8,FALSE),0)</f>
        <v>0</v>
      </c>
      <c r="K29" s="116">
        <f t="shared" si="1"/>
        <v>0</v>
      </c>
      <c r="L29" s="6"/>
      <c r="M29" s="6"/>
      <c r="N29" s="4"/>
      <c r="W29" s="10" t="e">
        <f>+#REF!</f>
        <v>#REF!</v>
      </c>
      <c r="X29" s="10" t="e">
        <f>+'MAYOR COLONES'!#REF!</f>
        <v>#REF!</v>
      </c>
      <c r="Y29" s="10" t="e">
        <f t="shared" si="3"/>
        <v>#REF!</v>
      </c>
    </row>
    <row r="30" spans="2:25" s="2" customFormat="1" ht="12" customHeight="1">
      <c r="B30" s="116">
        <v>16</v>
      </c>
      <c r="C30" s="184"/>
      <c r="D30" s="177" t="s">
        <v>107</v>
      </c>
      <c r="E30" s="185"/>
      <c r="F30" s="17">
        <f t="shared" si="4"/>
        <v>0</v>
      </c>
      <c r="G30" s="17"/>
      <c r="H30" s="17">
        <f>IFERROR(VLOOKUP(B30,Cargas!$B$3:$I$93,8,FALSE),0)</f>
        <v>0</v>
      </c>
      <c r="I30" s="182"/>
      <c r="J30" s="183"/>
      <c r="K30" s="116">
        <f t="shared" si="1"/>
        <v>0</v>
      </c>
      <c r="L30" s="6"/>
      <c r="M30" s="6"/>
      <c r="N30" s="11"/>
      <c r="W30" s="10">
        <f t="shared" si="2"/>
        <v>0</v>
      </c>
      <c r="X30" s="10">
        <f>+'MAYOR COLONES'!E39</f>
        <v>0</v>
      </c>
      <c r="Y30" s="10">
        <f t="shared" si="3"/>
        <v>0</v>
      </c>
    </row>
    <row r="31" spans="2:25" s="2" customFormat="1" ht="12" customHeight="1">
      <c r="B31" s="116">
        <v>17</v>
      </c>
      <c r="C31" s="184"/>
      <c r="D31" s="177" t="s">
        <v>85</v>
      </c>
      <c r="E31" s="185"/>
      <c r="F31" s="17">
        <f t="shared" si="4"/>
        <v>0</v>
      </c>
      <c r="G31" s="17"/>
      <c r="H31" s="17">
        <f>IFERROR(VLOOKUP(B31,Cargas!$B$3:$I$93,8,FALSE),0)</f>
        <v>0</v>
      </c>
      <c r="I31" s="182"/>
      <c r="J31" s="183"/>
      <c r="K31" s="116">
        <f t="shared" si="1"/>
        <v>0</v>
      </c>
      <c r="L31" s="6"/>
      <c r="M31" s="6"/>
      <c r="N31" s="11"/>
      <c r="W31" s="10">
        <f t="shared" si="2"/>
        <v>0</v>
      </c>
      <c r="X31" s="10" t="e">
        <f>+'MAYOR COLONES'!#REF!</f>
        <v>#REF!</v>
      </c>
      <c r="Y31" s="10" t="e">
        <f t="shared" si="3"/>
        <v>#REF!</v>
      </c>
    </row>
    <row r="32" spans="2:25" ht="12" customHeight="1">
      <c r="B32" s="116">
        <v>18</v>
      </c>
      <c r="C32" s="184"/>
      <c r="D32" s="177" t="s">
        <v>224</v>
      </c>
      <c r="E32" s="185"/>
      <c r="F32" s="17">
        <f t="shared" si="0"/>
        <v>0</v>
      </c>
      <c r="G32" s="186"/>
      <c r="H32" s="17">
        <f>IFERROR(VLOOKUP(B32,Cargas!$B$3:$I$93,8,FALSE),0)</f>
        <v>0</v>
      </c>
      <c r="K32" s="116">
        <f t="shared" si="1"/>
        <v>0</v>
      </c>
      <c r="L32" s="6"/>
      <c r="M32" s="6"/>
      <c r="N32" s="4"/>
      <c r="W32" s="10">
        <f t="shared" si="2"/>
        <v>0</v>
      </c>
      <c r="X32" s="10">
        <f>+'MAYOR COLONES'!E40</f>
        <v>0</v>
      </c>
      <c r="Y32" s="10">
        <f t="shared" si="3"/>
        <v>0</v>
      </c>
    </row>
    <row r="33" spans="2:25" s="2" customFormat="1" ht="12" customHeight="1">
      <c r="B33" s="116">
        <v>21</v>
      </c>
      <c r="C33" s="184"/>
      <c r="D33" s="177" t="s">
        <v>252</v>
      </c>
      <c r="E33" s="185"/>
      <c r="F33" s="17">
        <f t="shared" si="0"/>
        <v>0</v>
      </c>
      <c r="G33" s="186"/>
      <c r="H33" s="17">
        <f>IFERROR(VLOOKUP(B33,Cargas!$B$3:$I$93,8,FALSE),0)</f>
        <v>0</v>
      </c>
      <c r="I33" s="182"/>
      <c r="J33" s="183"/>
      <c r="K33" s="116">
        <f t="shared" si="1"/>
        <v>0</v>
      </c>
      <c r="L33" s="6"/>
      <c r="M33" s="6"/>
      <c r="N33" s="11"/>
      <c r="W33" s="10">
        <f t="shared" si="2"/>
        <v>0</v>
      </c>
      <c r="X33" s="10" t="e">
        <f>+'MAYOR COLONES'!#REF!</f>
        <v>#REF!</v>
      </c>
      <c r="Y33" s="10" t="e">
        <f t="shared" si="3"/>
        <v>#REF!</v>
      </c>
    </row>
    <row r="34" spans="2:25" s="2" customFormat="1" ht="12" customHeight="1">
      <c r="B34" s="116">
        <v>22</v>
      </c>
      <c r="C34" s="176"/>
      <c r="D34" s="177" t="s">
        <v>251</v>
      </c>
      <c r="E34" s="178"/>
      <c r="F34" s="17">
        <f t="shared" si="0"/>
        <v>0</v>
      </c>
      <c r="G34" s="17"/>
      <c r="H34" s="17">
        <f>IFERROR(VLOOKUP(B34,Cargas!$B$3:$I$93,8,FALSE),0)</f>
        <v>0</v>
      </c>
      <c r="I34" s="182"/>
      <c r="J34" s="183"/>
      <c r="K34" s="116">
        <f t="shared" si="1"/>
        <v>0</v>
      </c>
      <c r="L34" s="6"/>
      <c r="M34" s="6"/>
      <c r="N34" s="11"/>
      <c r="W34" s="10">
        <f t="shared" si="2"/>
        <v>0</v>
      </c>
      <c r="X34" s="10">
        <f>+'MAYOR COLONES'!E41</f>
        <v>0</v>
      </c>
      <c r="Y34" s="10">
        <f t="shared" si="3"/>
        <v>0</v>
      </c>
    </row>
    <row r="35" spans="2:25" ht="12" customHeight="1">
      <c r="B35" s="116">
        <v>23</v>
      </c>
      <c r="C35" s="176"/>
      <c r="D35" s="177" t="s">
        <v>19</v>
      </c>
      <c r="E35" s="178"/>
      <c r="F35" s="17">
        <f t="shared" si="0"/>
        <v>0</v>
      </c>
      <c r="G35" s="17"/>
      <c r="H35" s="17">
        <f>IFERROR(VLOOKUP(B35,Cargas!$B$3:$I$93,8,FALSE),0)</f>
        <v>0</v>
      </c>
      <c r="K35" s="116">
        <f t="shared" si="1"/>
        <v>0</v>
      </c>
      <c r="L35" s="6"/>
      <c r="M35" s="6"/>
      <c r="N35" s="4"/>
      <c r="W35" s="10">
        <f t="shared" si="2"/>
        <v>0</v>
      </c>
      <c r="X35" s="10" t="e">
        <f>+'MAYOR COLONES'!#REF!</f>
        <v>#REF!</v>
      </c>
      <c r="Y35" s="10" t="e">
        <f t="shared" si="3"/>
        <v>#REF!</v>
      </c>
    </row>
    <row r="36" spans="2:25" s="2" customFormat="1" ht="12" customHeight="1">
      <c r="B36" s="116">
        <v>24</v>
      </c>
      <c r="C36" s="179"/>
      <c r="D36" s="177" t="s">
        <v>20</v>
      </c>
      <c r="E36" s="178"/>
      <c r="F36" s="17">
        <f t="shared" si="0"/>
        <v>0</v>
      </c>
      <c r="G36" s="17"/>
      <c r="H36" s="17">
        <f>IFERROR(VLOOKUP(B36,Cargas!$B$3:$I$93,8,FALSE),0)</f>
        <v>0</v>
      </c>
      <c r="I36" s="182"/>
      <c r="J36" s="183"/>
      <c r="K36" s="116">
        <f t="shared" si="1"/>
        <v>0</v>
      </c>
      <c r="L36" s="6"/>
      <c r="M36" s="6"/>
      <c r="N36" s="11"/>
      <c r="W36" s="10">
        <f t="shared" si="2"/>
        <v>0</v>
      </c>
      <c r="X36" s="10">
        <f>+'MAYOR COLONES'!E42</f>
        <v>0</v>
      </c>
      <c r="Y36" s="10">
        <f t="shared" si="3"/>
        <v>0</v>
      </c>
    </row>
    <row r="37" spans="2:25" s="2" customFormat="1" ht="12" customHeight="1">
      <c r="B37" s="116">
        <v>25</v>
      </c>
      <c r="C37" s="176"/>
      <c r="D37" s="177" t="s">
        <v>21</v>
      </c>
      <c r="E37" s="178"/>
      <c r="F37" s="17">
        <f t="shared" si="0"/>
        <v>0</v>
      </c>
      <c r="G37" s="17"/>
      <c r="H37" s="17">
        <f>IFERROR(VLOOKUP(B37,Cargas!$B$3:$I$93,8,FALSE),0)</f>
        <v>0</v>
      </c>
      <c r="I37" s="182"/>
      <c r="J37" s="183"/>
      <c r="K37" s="116">
        <f t="shared" si="1"/>
        <v>0</v>
      </c>
      <c r="L37" s="6"/>
      <c r="M37" s="6"/>
      <c r="N37" s="11"/>
      <c r="W37" s="10"/>
      <c r="X37" s="10"/>
      <c r="Y37" s="10"/>
    </row>
    <row r="38" spans="2:25" s="2" customFormat="1">
      <c r="B38" s="116">
        <v>26</v>
      </c>
      <c r="C38" s="176"/>
      <c r="D38" s="177" t="s">
        <v>22</v>
      </c>
      <c r="E38" s="178"/>
      <c r="F38" s="17">
        <f t="shared" si="0"/>
        <v>0</v>
      </c>
      <c r="G38" s="17"/>
      <c r="H38" s="17">
        <f>IFERROR(VLOOKUP(B38,Cargas!$B$3:$I$93,8,FALSE),0)</f>
        <v>0</v>
      </c>
      <c r="I38" s="182"/>
      <c r="J38" s="183"/>
      <c r="K38" s="116">
        <f t="shared" si="1"/>
        <v>0</v>
      </c>
      <c r="L38" s="6"/>
      <c r="M38" s="6"/>
      <c r="N38" s="11"/>
      <c r="W38" s="10"/>
      <c r="X38" s="10"/>
      <c r="Y38" s="10"/>
    </row>
    <row r="39" spans="2:25" s="2" customFormat="1" ht="12" customHeight="1">
      <c r="B39" s="116">
        <v>27</v>
      </c>
      <c r="C39" s="176"/>
      <c r="D39" s="177" t="s">
        <v>23</v>
      </c>
      <c r="E39" s="178"/>
      <c r="F39" s="17">
        <f>+SUM(H39:H39)</f>
        <v>0</v>
      </c>
      <c r="G39" s="17"/>
      <c r="H39" s="17">
        <f>IFERROR(VLOOKUP(B39,Cargas!$B$3:$I$93,8,FALSE),0)</f>
        <v>0</v>
      </c>
      <c r="I39" s="182"/>
      <c r="J39" s="183"/>
      <c r="K39" s="116">
        <f t="shared" si="1"/>
        <v>0</v>
      </c>
      <c r="L39" s="6"/>
      <c r="M39" s="6"/>
      <c r="N39" s="11"/>
      <c r="W39" s="10"/>
      <c r="X39" s="10"/>
      <c r="Y39" s="10"/>
    </row>
    <row r="40" spans="2:25" s="2" customFormat="1">
      <c r="B40" s="116">
        <v>28</v>
      </c>
      <c r="C40" s="176"/>
      <c r="D40" s="177" t="s">
        <v>24</v>
      </c>
      <c r="E40" s="178"/>
      <c r="F40" s="17">
        <f>+SUM(H40:H40)</f>
        <v>0</v>
      </c>
      <c r="G40" s="17"/>
      <c r="H40" s="17">
        <f>IFERROR(VLOOKUP(B40,Cargas!$B$3:$I$93,8,FALSE),0)</f>
        <v>0</v>
      </c>
      <c r="I40" s="182"/>
      <c r="J40" s="183"/>
      <c r="K40" s="116">
        <f t="shared" si="1"/>
        <v>0</v>
      </c>
      <c r="L40" s="6"/>
      <c r="M40" s="6"/>
      <c r="N40" s="11"/>
      <c r="W40" s="10"/>
      <c r="X40" s="10"/>
      <c r="Y40" s="10"/>
    </row>
    <row r="41" spans="2:25" s="2" customFormat="1" ht="12" customHeight="1">
      <c r="B41" s="116">
        <v>29</v>
      </c>
      <c r="C41" s="176"/>
      <c r="D41" s="180" t="s">
        <v>159</v>
      </c>
      <c r="E41" s="181"/>
      <c r="F41" s="17">
        <f>+SUM(H41:H41)</f>
        <v>0</v>
      </c>
      <c r="G41" s="17"/>
      <c r="H41" s="17">
        <f>IFERROR(VLOOKUP(B41,Cargas!$B$3:$I$93,8,FALSE),0)</f>
        <v>0</v>
      </c>
      <c r="I41" s="182"/>
      <c r="J41" s="183"/>
      <c r="K41" s="116">
        <f t="shared" si="1"/>
        <v>0</v>
      </c>
      <c r="L41" s="6"/>
      <c r="M41" s="6"/>
      <c r="N41" s="11"/>
      <c r="W41" s="10"/>
      <c r="X41" s="10"/>
      <c r="Y41" s="10"/>
    </row>
    <row r="42" spans="2:25" s="2" customFormat="1">
      <c r="B42" s="116">
        <v>31</v>
      </c>
      <c r="C42" s="176"/>
      <c r="D42" s="180" t="s">
        <v>225</v>
      </c>
      <c r="E42" s="178"/>
      <c r="F42" s="17">
        <f>+SUM(H42:H42)</f>
        <v>0</v>
      </c>
      <c r="G42" s="17"/>
      <c r="H42" s="17">
        <f>IFERROR(VLOOKUP(B42,Cargas!$B$3:$I$93,8,FALSE),0)</f>
        <v>0</v>
      </c>
      <c r="I42" s="182"/>
      <c r="J42" s="183"/>
      <c r="K42" s="116">
        <f t="shared" si="1"/>
        <v>0</v>
      </c>
      <c r="L42" s="6"/>
      <c r="M42" s="6"/>
      <c r="N42" s="11"/>
      <c r="W42" s="10"/>
      <c r="X42" s="10"/>
      <c r="Y42" s="10"/>
    </row>
    <row r="43" spans="2:25" s="2" customFormat="1" ht="12" customHeight="1">
      <c r="B43" s="116">
        <v>32</v>
      </c>
      <c r="C43" s="176"/>
      <c r="D43" s="177" t="s">
        <v>133</v>
      </c>
      <c r="E43" s="178"/>
      <c r="F43" s="17">
        <f t="shared" si="0"/>
        <v>0</v>
      </c>
      <c r="G43" s="17"/>
      <c r="H43" s="17">
        <f>IFERROR(VLOOKUP(B43,Cargas!$B$3:$I$93,8,FALSE),0)</f>
        <v>0</v>
      </c>
      <c r="I43" s="182"/>
      <c r="J43" s="183"/>
      <c r="K43" s="116">
        <f t="shared" si="1"/>
        <v>0</v>
      </c>
      <c r="L43" s="6"/>
      <c r="M43" s="6"/>
      <c r="N43" s="11"/>
      <c r="W43" s="10">
        <f>+F43</f>
        <v>0</v>
      </c>
      <c r="X43" s="10">
        <f>+'MAYOR COLONES'!E41</f>
        <v>0</v>
      </c>
      <c r="Y43" s="10">
        <f>+X43+W43</f>
        <v>0</v>
      </c>
    </row>
    <row r="44" spans="2:25" s="2" customFormat="1" ht="12" customHeight="1">
      <c r="B44" s="116">
        <v>33</v>
      </c>
      <c r="C44" s="176"/>
      <c r="D44" s="177" t="s">
        <v>226</v>
      </c>
      <c r="E44" s="178"/>
      <c r="F44" s="17">
        <f t="shared" si="0"/>
        <v>0</v>
      </c>
      <c r="G44" s="17"/>
      <c r="H44" s="17">
        <f>IFERROR(VLOOKUP(B44,Cargas!$B$3:$I$93,8,FALSE),0)</f>
        <v>0</v>
      </c>
      <c r="I44" s="182"/>
      <c r="J44" s="183"/>
      <c r="K44" s="116">
        <f t="shared" si="1"/>
        <v>0</v>
      </c>
      <c r="L44" s="6"/>
      <c r="M44" s="6"/>
      <c r="N44" s="11"/>
      <c r="W44" s="10"/>
      <c r="X44" s="10"/>
      <c r="Y44" s="10"/>
    </row>
    <row r="45" spans="2:25" s="2" customFormat="1" ht="12" customHeight="1">
      <c r="B45" s="116">
        <v>35</v>
      </c>
      <c r="C45" s="176"/>
      <c r="D45" s="177" t="s">
        <v>227</v>
      </c>
      <c r="E45" s="178"/>
      <c r="F45" s="17">
        <f t="shared" si="0"/>
        <v>0</v>
      </c>
      <c r="G45" s="17"/>
      <c r="H45" s="17">
        <f>IFERROR(VLOOKUP(B45,Cargas!$B$3:$I$93,8,FALSE),0)</f>
        <v>0</v>
      </c>
      <c r="I45" s="182"/>
      <c r="J45" s="183"/>
      <c r="K45" s="116">
        <f t="shared" si="1"/>
        <v>0</v>
      </c>
      <c r="L45" s="6"/>
      <c r="M45" s="6"/>
      <c r="N45" s="11"/>
      <c r="W45" s="10"/>
      <c r="X45" s="10"/>
      <c r="Y45" s="10"/>
    </row>
    <row r="46" spans="2:25" s="2" customFormat="1" ht="12" customHeight="1">
      <c r="B46" s="116">
        <v>34</v>
      </c>
      <c r="C46" s="176"/>
      <c r="D46" s="177" t="s">
        <v>160</v>
      </c>
      <c r="E46" s="178"/>
      <c r="F46" s="17">
        <f t="shared" si="0"/>
        <v>0</v>
      </c>
      <c r="G46" s="17"/>
      <c r="H46" s="17">
        <f>IFERROR(VLOOKUP(B46,Cargas!$B$3:$I$93,8,FALSE),0)</f>
        <v>0</v>
      </c>
      <c r="I46" s="182"/>
      <c r="J46" s="183"/>
      <c r="K46" s="116">
        <f t="shared" si="1"/>
        <v>0</v>
      </c>
      <c r="L46" s="6"/>
      <c r="M46" s="6"/>
      <c r="N46" s="11"/>
      <c r="W46" s="10">
        <f>+F46</f>
        <v>0</v>
      </c>
      <c r="X46" s="10">
        <f>+'MAYOR COLONES'!E41</f>
        <v>0</v>
      </c>
      <c r="Y46" s="10">
        <f>+X46+W46</f>
        <v>0</v>
      </c>
    </row>
    <row r="47" spans="2:25" s="2" customFormat="1" ht="12" customHeight="1">
      <c r="B47" s="116">
        <v>36</v>
      </c>
      <c r="C47" s="176"/>
      <c r="D47" s="177" t="s">
        <v>161</v>
      </c>
      <c r="E47" s="178"/>
      <c r="F47" s="17">
        <f t="shared" si="0"/>
        <v>0</v>
      </c>
      <c r="G47" s="17"/>
      <c r="H47" s="17">
        <f>IFERROR(VLOOKUP(B47,Cargas!$B$3:$I$93,8,FALSE),0)</f>
        <v>0</v>
      </c>
      <c r="I47" s="182"/>
      <c r="J47" s="183"/>
      <c r="K47" s="116">
        <f t="shared" si="1"/>
        <v>0</v>
      </c>
      <c r="L47" s="6"/>
      <c r="M47" s="6"/>
      <c r="N47" s="11"/>
      <c r="W47" s="10"/>
      <c r="X47" s="10"/>
      <c r="Y47" s="10"/>
    </row>
    <row r="48" spans="2:25" s="2" customFormat="1" ht="12" customHeight="1">
      <c r="B48" s="116">
        <v>37</v>
      </c>
      <c r="C48" s="176"/>
      <c r="D48" s="177" t="s">
        <v>25</v>
      </c>
      <c r="E48" s="178"/>
      <c r="F48" s="17">
        <f t="shared" si="0"/>
        <v>0</v>
      </c>
      <c r="G48" s="17"/>
      <c r="H48" s="17">
        <f>IFERROR(VLOOKUP(B48,Cargas!$B$3:$I$93,8,FALSE),0)</f>
        <v>0</v>
      </c>
      <c r="I48" s="182"/>
      <c r="J48" s="183"/>
      <c r="K48" s="116">
        <f t="shared" si="1"/>
        <v>0</v>
      </c>
      <c r="L48" s="6"/>
      <c r="M48" s="6"/>
      <c r="N48" s="11"/>
      <c r="W48" s="10"/>
      <c r="X48" s="10"/>
      <c r="Y48" s="10"/>
    </row>
    <row r="49" spans="2:25" s="2" customFormat="1" ht="12" customHeight="1">
      <c r="B49" s="116">
        <v>38</v>
      </c>
      <c r="C49" s="176"/>
      <c r="D49" s="177" t="s">
        <v>228</v>
      </c>
      <c r="E49" s="178"/>
      <c r="F49" s="17">
        <f t="shared" si="0"/>
        <v>0</v>
      </c>
      <c r="G49" s="17"/>
      <c r="H49" s="17">
        <f>IFERROR(VLOOKUP(B49,Cargas!$B$3:$I$93,8,FALSE),0)</f>
        <v>0</v>
      </c>
      <c r="I49" s="182"/>
      <c r="J49" s="183"/>
      <c r="K49" s="116">
        <f t="shared" si="1"/>
        <v>0</v>
      </c>
      <c r="L49" s="6"/>
      <c r="M49" s="6"/>
      <c r="N49" s="11"/>
      <c r="W49" s="10">
        <f t="shared" si="2"/>
        <v>0</v>
      </c>
      <c r="X49" s="10">
        <f>+'MAYOR COLONES'!E43</f>
        <v>0</v>
      </c>
      <c r="Y49" s="10">
        <f t="shared" si="3"/>
        <v>0</v>
      </c>
    </row>
    <row r="50" spans="2:25" ht="12" customHeight="1">
      <c r="B50" s="116">
        <v>39</v>
      </c>
      <c r="C50" s="176"/>
      <c r="D50" s="177" t="s">
        <v>26</v>
      </c>
      <c r="E50" s="178"/>
      <c r="F50" s="17">
        <f>+SUM(H50:H50)</f>
        <v>0</v>
      </c>
      <c r="G50" s="17"/>
      <c r="H50" s="17">
        <f>IFERROR(VLOOKUP(B50,Cargas!$B$3:$I$93,8,FALSE),0)</f>
        <v>0</v>
      </c>
      <c r="K50" s="116">
        <f t="shared" si="1"/>
        <v>0</v>
      </c>
      <c r="L50" s="6"/>
      <c r="M50" s="6"/>
      <c r="N50" s="4"/>
      <c r="W50" s="10">
        <f>+F50</f>
        <v>0</v>
      </c>
      <c r="X50" s="10">
        <f>+'MAYOR COLONES'!E55</f>
        <v>0</v>
      </c>
      <c r="Y50" s="10">
        <f>+X50+W50</f>
        <v>0</v>
      </c>
    </row>
    <row r="51" spans="2:25" s="2" customFormat="1" ht="12" customHeight="1">
      <c r="B51" s="116">
        <v>40</v>
      </c>
      <c r="C51" s="184"/>
      <c r="D51" s="177" t="s">
        <v>101</v>
      </c>
      <c r="E51" s="178"/>
      <c r="F51" s="17">
        <f>+SUM(H51:H51)</f>
        <v>0</v>
      </c>
      <c r="G51" s="17"/>
      <c r="H51" s="17">
        <f>IFERROR(VLOOKUP(B51,Cargas!$B$3:$I$93,8,FALSE),0)</f>
        <v>0</v>
      </c>
      <c r="I51" s="182"/>
      <c r="J51" s="183"/>
      <c r="K51" s="116">
        <f t="shared" si="1"/>
        <v>0</v>
      </c>
      <c r="L51" s="6"/>
      <c r="M51" s="6"/>
      <c r="N51" s="11"/>
      <c r="W51" s="10">
        <f>+F51</f>
        <v>0</v>
      </c>
      <c r="X51" s="10">
        <f>+'MAYOR COLONES'!E56</f>
        <v>0</v>
      </c>
      <c r="Y51" s="10">
        <f>+X51+W51</f>
        <v>0</v>
      </c>
    </row>
    <row r="52" spans="2:25" s="2" customFormat="1">
      <c r="B52" s="116">
        <v>41</v>
      </c>
      <c r="C52" s="184"/>
      <c r="D52" s="177">
        <v>41</v>
      </c>
      <c r="E52" s="178"/>
      <c r="F52" s="17">
        <f>+SUM(H52:H52)</f>
        <v>0</v>
      </c>
      <c r="G52" s="17"/>
      <c r="H52" s="17">
        <f>IFERROR(VLOOKUP(B52,Cargas!$B$3:$I$93,8,FALSE),0)</f>
        <v>0</v>
      </c>
      <c r="I52" s="182"/>
      <c r="J52" s="183"/>
      <c r="K52" s="116">
        <f t="shared" si="1"/>
        <v>0</v>
      </c>
      <c r="L52" s="6"/>
      <c r="M52" s="6"/>
      <c r="N52" s="11"/>
      <c r="W52" s="10"/>
      <c r="X52" s="10"/>
      <c r="Y52" s="10"/>
    </row>
    <row r="53" spans="2:25" s="2" customFormat="1" ht="12" customHeight="1">
      <c r="B53" s="116">
        <v>42</v>
      </c>
      <c r="C53" s="176"/>
      <c r="D53" s="177" t="s">
        <v>27</v>
      </c>
      <c r="E53" s="178"/>
      <c r="F53" s="17">
        <f t="shared" si="0"/>
        <v>0</v>
      </c>
      <c r="G53" s="17"/>
      <c r="H53" s="17">
        <f>IFERROR(VLOOKUP(B53,Cargas!$B$3:$I$93,8,FALSE),0)</f>
        <v>0</v>
      </c>
      <c r="I53" s="182"/>
      <c r="J53" s="183"/>
      <c r="K53" s="116">
        <f t="shared" si="1"/>
        <v>0</v>
      </c>
      <c r="L53" s="6"/>
      <c r="M53" s="6"/>
      <c r="N53" s="11"/>
      <c r="W53" s="10">
        <f>+F53</f>
        <v>0</v>
      </c>
      <c r="X53" s="10">
        <f>+'MAYOR COLONES'!E57</f>
        <v>0</v>
      </c>
      <c r="Y53" s="10">
        <f>+X53+W53</f>
        <v>0</v>
      </c>
    </row>
    <row r="54" spans="2:25" ht="12" customHeight="1">
      <c r="B54" s="116">
        <v>43</v>
      </c>
      <c r="C54" s="176"/>
      <c r="D54" s="177" t="s">
        <v>229</v>
      </c>
      <c r="E54" s="178"/>
      <c r="F54" s="17">
        <f t="shared" si="0"/>
        <v>0</v>
      </c>
      <c r="G54" s="17"/>
      <c r="H54" s="17">
        <f>IFERROR(VLOOKUP(B54,Cargas!$B$3:$I$93,8,FALSE),0)</f>
        <v>0</v>
      </c>
      <c r="K54" s="116">
        <f t="shared" si="1"/>
        <v>0</v>
      </c>
      <c r="L54" s="6"/>
      <c r="M54" s="6"/>
      <c r="N54" s="4"/>
      <c r="W54" s="10">
        <f t="shared" si="2"/>
        <v>0</v>
      </c>
      <c r="X54" s="10">
        <f>+'MAYOR COLONES'!E58</f>
        <v>0</v>
      </c>
      <c r="Y54" s="10">
        <f t="shared" si="3"/>
        <v>0</v>
      </c>
    </row>
    <row r="55" spans="2:25" ht="12" customHeight="1">
      <c r="B55" s="116">
        <v>44</v>
      </c>
      <c r="C55" s="176"/>
      <c r="D55" s="177" t="s">
        <v>93</v>
      </c>
      <c r="E55" s="178"/>
      <c r="F55" s="17">
        <f t="shared" si="0"/>
        <v>0</v>
      </c>
      <c r="G55" s="17"/>
      <c r="H55" s="17">
        <f>IFERROR(VLOOKUP(B55,Cargas!$B$3:$I$93,8,FALSE),0)</f>
        <v>0</v>
      </c>
      <c r="K55" s="116">
        <f t="shared" si="1"/>
        <v>0</v>
      </c>
      <c r="L55" s="6"/>
      <c r="M55" s="6"/>
      <c r="N55" s="4"/>
      <c r="W55" s="10">
        <f t="shared" si="2"/>
        <v>0</v>
      </c>
      <c r="X55" s="10">
        <f>+'MAYOR COLONES'!E60</f>
        <v>0</v>
      </c>
      <c r="Y55" s="10">
        <f t="shared" si="3"/>
        <v>0</v>
      </c>
    </row>
    <row r="56" spans="2:25">
      <c r="B56" s="116">
        <v>45</v>
      </c>
      <c r="C56" s="176"/>
      <c r="D56" s="177" t="s">
        <v>28</v>
      </c>
      <c r="E56" s="178"/>
      <c r="F56" s="18">
        <f t="shared" si="0"/>
        <v>0</v>
      </c>
      <c r="G56" s="17"/>
      <c r="H56" s="17">
        <f>IFERROR(VLOOKUP(B56,Cargas!$B$3:$I$93,8,FALSE),0)</f>
        <v>0</v>
      </c>
      <c r="K56" s="116">
        <f t="shared" si="1"/>
        <v>0</v>
      </c>
      <c r="L56" s="6"/>
      <c r="M56" s="6"/>
      <c r="N56" s="4"/>
      <c r="W56" s="10">
        <f t="shared" si="2"/>
        <v>0</v>
      </c>
      <c r="X56" s="10">
        <f>+'MAYOR COLONES'!E63</f>
        <v>0</v>
      </c>
      <c r="Y56" s="10">
        <f t="shared" si="3"/>
        <v>0</v>
      </c>
    </row>
    <row r="57" spans="2:25" ht="12" customHeight="1">
      <c r="B57" s="116">
        <v>47</v>
      </c>
      <c r="C57" s="176"/>
      <c r="D57" s="177" t="s">
        <v>154</v>
      </c>
      <c r="E57" s="178"/>
      <c r="F57" s="17">
        <f t="shared" si="0"/>
        <v>0</v>
      </c>
      <c r="G57" s="17"/>
      <c r="H57" s="17">
        <f>IFERROR(VLOOKUP(B57,Cargas!$B$3:$I$93,8,FALSE),0)</f>
        <v>0</v>
      </c>
      <c r="K57" s="116">
        <f t="shared" si="1"/>
        <v>0</v>
      </c>
      <c r="L57" s="6"/>
      <c r="M57" s="6"/>
      <c r="N57" s="4"/>
      <c r="W57" s="10">
        <f t="shared" si="2"/>
        <v>0</v>
      </c>
      <c r="X57" s="10" t="e">
        <f>+'MAYOR COLONES'!#REF!</f>
        <v>#REF!</v>
      </c>
      <c r="Y57" s="10" t="e">
        <f t="shared" si="3"/>
        <v>#REF!</v>
      </c>
    </row>
    <row r="58" spans="2:25" ht="12" customHeight="1">
      <c r="B58" s="116">
        <v>48</v>
      </c>
      <c r="C58" s="176"/>
      <c r="D58" s="177" t="s">
        <v>29</v>
      </c>
      <c r="E58" s="178"/>
      <c r="F58" s="17">
        <f t="shared" si="0"/>
        <v>0</v>
      </c>
      <c r="G58" s="17"/>
      <c r="H58" s="17">
        <f>IFERROR(VLOOKUP(B58,Cargas!$B$3:$I$93,8,FALSE),0)</f>
        <v>0</v>
      </c>
      <c r="K58" s="116">
        <f t="shared" si="1"/>
        <v>0</v>
      </c>
      <c r="L58" s="6"/>
      <c r="M58" s="6"/>
      <c r="N58" s="4"/>
      <c r="W58" s="10">
        <f t="shared" si="2"/>
        <v>0</v>
      </c>
      <c r="X58" s="10" t="e">
        <f>+'MAYOR COLONES'!#REF!</f>
        <v>#REF!</v>
      </c>
      <c r="Y58" s="10" t="e">
        <f t="shared" si="3"/>
        <v>#REF!</v>
      </c>
    </row>
    <row r="59" spans="2:25" ht="12" customHeight="1">
      <c r="B59" s="116">
        <v>49</v>
      </c>
      <c r="C59" s="176"/>
      <c r="D59" s="177" t="s">
        <v>162</v>
      </c>
      <c r="E59" s="178"/>
      <c r="F59" s="17">
        <f t="shared" si="0"/>
        <v>0</v>
      </c>
      <c r="G59" s="17"/>
      <c r="H59" s="17">
        <f>IFERROR(VLOOKUP(B59,Cargas!$B$3:$I$93,8,FALSE),0)</f>
        <v>0</v>
      </c>
      <c r="K59" s="116">
        <f t="shared" si="1"/>
        <v>0</v>
      </c>
      <c r="L59" s="6"/>
      <c r="M59" s="6"/>
      <c r="N59" s="4"/>
      <c r="W59" s="10">
        <f t="shared" si="2"/>
        <v>0</v>
      </c>
      <c r="X59" s="10">
        <f>+'MAYOR COLONES'!E69</f>
        <v>0</v>
      </c>
      <c r="Y59" s="10">
        <f t="shared" si="3"/>
        <v>0</v>
      </c>
    </row>
    <row r="60" spans="2:25" ht="12" customHeight="1">
      <c r="B60" s="116">
        <v>50</v>
      </c>
      <c r="C60" s="176"/>
      <c r="D60" s="177" t="s">
        <v>30</v>
      </c>
      <c r="E60" s="178"/>
      <c r="F60" s="17">
        <f t="shared" si="0"/>
        <v>0</v>
      </c>
      <c r="G60" s="17"/>
      <c r="H60" s="17">
        <f>IFERROR(VLOOKUP(B60,Cargas!$B$3:$I$93,8,FALSE),0)</f>
        <v>0</v>
      </c>
      <c r="K60" s="116">
        <f t="shared" si="1"/>
        <v>0</v>
      </c>
      <c r="L60" s="6"/>
      <c r="M60" s="6"/>
      <c r="N60" s="4"/>
      <c r="W60" s="10">
        <f t="shared" ref="W60:W106" si="5">+F60</f>
        <v>0</v>
      </c>
      <c r="X60" s="10">
        <f>+'MAYOR COLONES'!E71</f>
        <v>0</v>
      </c>
      <c r="Y60" s="10">
        <f t="shared" ref="Y60:Y106" si="6">+X60+W60</f>
        <v>0</v>
      </c>
    </row>
    <row r="61" spans="2:25" ht="12" customHeight="1">
      <c r="B61" s="116">
        <v>51</v>
      </c>
      <c r="C61" s="176"/>
      <c r="D61" s="177">
        <v>51</v>
      </c>
      <c r="E61" s="178"/>
      <c r="F61" s="17">
        <f t="shared" si="0"/>
        <v>0</v>
      </c>
      <c r="G61" s="17"/>
      <c r="H61" s="17">
        <f>IFERROR(VLOOKUP(B61,Cargas!$B$3:$I$93,8,FALSE),0)</f>
        <v>0</v>
      </c>
      <c r="K61" s="116">
        <f t="shared" si="1"/>
        <v>0</v>
      </c>
      <c r="L61" s="6"/>
      <c r="M61" s="6"/>
      <c r="N61" s="4"/>
    </row>
    <row r="62" spans="2:25" s="2" customFormat="1" ht="12" customHeight="1">
      <c r="B62" s="116">
        <v>52</v>
      </c>
      <c r="C62" s="176"/>
      <c r="D62" s="177" t="s">
        <v>75</v>
      </c>
      <c r="E62" s="178"/>
      <c r="F62" s="17">
        <f t="shared" si="0"/>
        <v>0</v>
      </c>
      <c r="G62" s="17"/>
      <c r="H62" s="17">
        <f>IFERROR(VLOOKUP(B62,Cargas!$B$3:$I$93,8,FALSE),0)</f>
        <v>0</v>
      </c>
      <c r="I62" s="182"/>
      <c r="J62" s="183"/>
      <c r="K62" s="116">
        <f t="shared" si="1"/>
        <v>0</v>
      </c>
      <c r="L62" s="6"/>
      <c r="M62" s="6"/>
      <c r="N62" s="11"/>
      <c r="W62" s="10">
        <f t="shared" si="5"/>
        <v>0</v>
      </c>
      <c r="X62" s="10" t="e">
        <f>+'MAYOR COLONES'!#REF!</f>
        <v>#REF!</v>
      </c>
      <c r="Y62" s="10" t="e">
        <f t="shared" si="6"/>
        <v>#REF!</v>
      </c>
    </row>
    <row r="63" spans="2:25" s="2" customFormat="1" ht="12" customHeight="1">
      <c r="B63" s="116">
        <v>53</v>
      </c>
      <c r="C63" s="176"/>
      <c r="D63" s="177" t="s">
        <v>31</v>
      </c>
      <c r="E63" s="178"/>
      <c r="F63" s="17">
        <f t="shared" si="0"/>
        <v>0</v>
      </c>
      <c r="G63" s="17"/>
      <c r="H63" s="17">
        <f>IFERROR(VLOOKUP(B63,Cargas!$B$3:$I$93,8,FALSE),0)</f>
        <v>0</v>
      </c>
      <c r="I63" s="182"/>
      <c r="J63" s="183"/>
      <c r="K63" s="116">
        <f t="shared" si="1"/>
        <v>0</v>
      </c>
      <c r="L63" s="6"/>
      <c r="M63" s="6"/>
      <c r="N63" s="11"/>
      <c r="W63" s="10">
        <f t="shared" si="5"/>
        <v>0</v>
      </c>
      <c r="X63" s="10">
        <f>+'MAYOR COLONES'!E72</f>
        <v>0</v>
      </c>
      <c r="Y63" s="10">
        <f t="shared" si="6"/>
        <v>0</v>
      </c>
    </row>
    <row r="64" spans="2:25" ht="12" customHeight="1">
      <c r="B64" s="116">
        <v>55</v>
      </c>
      <c r="C64" s="176"/>
      <c r="D64" s="177" t="s">
        <v>32</v>
      </c>
      <c r="E64" s="178"/>
      <c r="F64" s="17">
        <f t="shared" si="0"/>
        <v>0</v>
      </c>
      <c r="G64" s="17"/>
      <c r="H64" s="17">
        <f>IFERROR(VLOOKUP(B64,Cargas!$B$3:$I$93,8,FALSE),0)</f>
        <v>0</v>
      </c>
      <c r="K64" s="116">
        <f t="shared" si="1"/>
        <v>0</v>
      </c>
      <c r="L64" s="7"/>
      <c r="M64" s="7"/>
      <c r="N64" s="4"/>
      <c r="W64" s="10">
        <f>+F64</f>
        <v>0</v>
      </c>
      <c r="X64" s="10" t="e">
        <f>+'MAYOR COLONES'!#REF!</f>
        <v>#REF!</v>
      </c>
      <c r="Y64" s="10" t="e">
        <f>+X64+W64</f>
        <v>#REF!</v>
      </c>
    </row>
    <row r="65" spans="2:25" s="2" customFormat="1" ht="12" customHeight="1">
      <c r="B65" s="116">
        <v>57</v>
      </c>
      <c r="C65" s="176"/>
      <c r="D65" s="177" t="s">
        <v>163</v>
      </c>
      <c r="E65" s="178"/>
      <c r="F65" s="17">
        <f t="shared" si="0"/>
        <v>0</v>
      </c>
      <c r="G65" s="17"/>
      <c r="H65" s="17">
        <f>IFERROR(VLOOKUP(B65,Cargas!$B$3:$I$93,8,FALSE),0)</f>
        <v>0</v>
      </c>
      <c r="I65" s="182"/>
      <c r="J65" s="183"/>
      <c r="K65" s="116">
        <f t="shared" si="1"/>
        <v>0</v>
      </c>
      <c r="L65" s="6"/>
      <c r="M65" s="6"/>
      <c r="N65" s="11"/>
      <c r="W65" s="10">
        <f>+F65</f>
        <v>0</v>
      </c>
      <c r="X65" s="10">
        <f>+'MAYOR COLONES'!E74</f>
        <v>0</v>
      </c>
      <c r="Y65" s="10">
        <f>+X65+W65</f>
        <v>0</v>
      </c>
    </row>
    <row r="66" spans="2:25" ht="12" customHeight="1">
      <c r="B66" s="116">
        <v>58</v>
      </c>
      <c r="C66" s="176"/>
      <c r="D66" s="177" t="s">
        <v>33</v>
      </c>
      <c r="E66" s="178"/>
      <c r="F66" s="17">
        <f t="shared" si="0"/>
        <v>0</v>
      </c>
      <c r="G66" s="17"/>
      <c r="H66" s="17">
        <f>IFERROR(VLOOKUP(B66,Cargas!$B$3:$I$93,8,FALSE),0)</f>
        <v>0</v>
      </c>
      <c r="K66" s="116">
        <f t="shared" si="1"/>
        <v>0</v>
      </c>
      <c r="L66" s="7"/>
      <c r="M66" s="7"/>
      <c r="N66" s="4"/>
      <c r="W66" s="10">
        <f t="shared" si="5"/>
        <v>0</v>
      </c>
      <c r="X66" s="10">
        <f>+'MAYOR COLONES'!E75</f>
        <v>0</v>
      </c>
      <c r="Y66" s="10">
        <f t="shared" si="6"/>
        <v>0</v>
      </c>
    </row>
    <row r="67" spans="2:25" s="2" customFormat="1" ht="12" customHeight="1">
      <c r="B67" s="116">
        <v>59</v>
      </c>
      <c r="C67" s="176"/>
      <c r="D67" s="177" t="s">
        <v>34</v>
      </c>
      <c r="E67" s="178"/>
      <c r="F67" s="17">
        <f>+SUM(H67:H67)</f>
        <v>0</v>
      </c>
      <c r="G67" s="17"/>
      <c r="H67" s="17">
        <f>IFERROR(VLOOKUP(B67,Cargas!$B$3:$I$93,8,FALSE),0)</f>
        <v>0</v>
      </c>
      <c r="I67" s="182"/>
      <c r="J67" s="183"/>
      <c r="K67" s="116">
        <f t="shared" si="1"/>
        <v>0</v>
      </c>
      <c r="L67" s="6"/>
      <c r="M67" s="6"/>
      <c r="N67" s="11"/>
      <c r="W67" s="10">
        <f t="shared" si="5"/>
        <v>0</v>
      </c>
      <c r="X67" s="10" t="e">
        <f>+'MAYOR COLONES'!#REF!</f>
        <v>#REF!</v>
      </c>
      <c r="Y67" s="10" t="e">
        <f t="shared" si="6"/>
        <v>#REF!</v>
      </c>
    </row>
    <row r="68" spans="2:25" s="2" customFormat="1" ht="12" customHeight="1">
      <c r="B68" s="116">
        <v>60</v>
      </c>
      <c r="C68" s="176"/>
      <c r="D68" s="177" t="s">
        <v>35</v>
      </c>
      <c r="E68" s="178"/>
      <c r="F68" s="17">
        <f>+SUM(H68:H68)</f>
        <v>0</v>
      </c>
      <c r="G68" s="17"/>
      <c r="H68" s="17">
        <f>IFERROR(VLOOKUP(B68,Cargas!$B$3:$I$93,8,FALSE),0)</f>
        <v>0</v>
      </c>
      <c r="I68" s="182"/>
      <c r="J68" s="183"/>
      <c r="K68" s="116">
        <f t="shared" si="1"/>
        <v>0</v>
      </c>
      <c r="L68" s="6"/>
      <c r="M68" s="6"/>
      <c r="N68" s="11"/>
      <c r="W68" s="10">
        <f t="shared" si="5"/>
        <v>0</v>
      </c>
      <c r="X68" s="10">
        <f>+'MAYOR COLONES'!E76</f>
        <v>0</v>
      </c>
      <c r="Y68" s="10">
        <f t="shared" si="6"/>
        <v>0</v>
      </c>
    </row>
    <row r="69" spans="2:25" ht="12" customHeight="1">
      <c r="B69" s="116">
        <v>61</v>
      </c>
      <c r="C69" s="176"/>
      <c r="D69" s="177" t="s">
        <v>155</v>
      </c>
      <c r="E69" s="178"/>
      <c r="F69" s="17">
        <f>+SUM(H69:H69)</f>
        <v>0</v>
      </c>
      <c r="G69" s="17"/>
      <c r="H69" s="17">
        <f>IFERROR(VLOOKUP(B69,Cargas!$B$3:$I$93,8,FALSE),0)</f>
        <v>0</v>
      </c>
      <c r="K69" s="116">
        <f t="shared" si="1"/>
        <v>0</v>
      </c>
      <c r="L69" s="6"/>
      <c r="M69" s="6"/>
      <c r="N69" s="4"/>
      <c r="W69" s="10">
        <f t="shared" ref="W69:W74" si="7">+F69</f>
        <v>0</v>
      </c>
      <c r="X69" s="10">
        <f>+'MAYOR COLONES'!E77</f>
        <v>0</v>
      </c>
      <c r="Y69" s="10">
        <f t="shared" ref="Y69:Y74" si="8">+X69+W69</f>
        <v>0</v>
      </c>
    </row>
    <row r="70" spans="2:25" s="2" customFormat="1" ht="12" customHeight="1">
      <c r="B70" s="116">
        <v>63</v>
      </c>
      <c r="C70" s="176"/>
      <c r="D70" s="177" t="s">
        <v>36</v>
      </c>
      <c r="E70" s="178"/>
      <c r="F70" s="17">
        <f>+SUM(H70:H70)</f>
        <v>0</v>
      </c>
      <c r="G70" s="17"/>
      <c r="H70" s="17">
        <f>IFERROR(VLOOKUP(B70,Cargas!$B$3:$I$93,8,FALSE),0)</f>
        <v>0</v>
      </c>
      <c r="I70" s="182"/>
      <c r="J70" s="183"/>
      <c r="K70" s="116">
        <f t="shared" si="1"/>
        <v>0</v>
      </c>
      <c r="L70" s="6"/>
      <c r="M70" s="6"/>
      <c r="N70" s="11"/>
      <c r="W70" s="10">
        <f t="shared" si="7"/>
        <v>0</v>
      </c>
      <c r="X70" s="10">
        <f>+'MAYOR COLONES'!E78</f>
        <v>0</v>
      </c>
      <c r="Y70" s="10">
        <f t="shared" si="8"/>
        <v>0</v>
      </c>
    </row>
    <row r="71" spans="2:25" s="2" customFormat="1" ht="12" customHeight="1">
      <c r="B71" s="116">
        <v>64</v>
      </c>
      <c r="C71" s="176"/>
      <c r="D71" s="177" t="s">
        <v>72</v>
      </c>
      <c r="E71" s="178"/>
      <c r="F71" s="17">
        <f t="shared" si="0"/>
        <v>0</v>
      </c>
      <c r="G71" s="17"/>
      <c r="H71" s="17">
        <f>IFERROR(VLOOKUP(B71,Cargas!$B$3:$I$93,8,FALSE),0)</f>
        <v>0</v>
      </c>
      <c r="I71" s="182"/>
      <c r="J71" s="183"/>
      <c r="K71" s="116">
        <f t="shared" si="1"/>
        <v>0</v>
      </c>
      <c r="L71" s="6"/>
      <c r="M71" s="6"/>
      <c r="N71" s="11"/>
      <c r="W71" s="10">
        <f t="shared" si="7"/>
        <v>0</v>
      </c>
      <c r="X71" s="10" t="e">
        <f>+'MAYOR COLONES'!#REF!</f>
        <v>#REF!</v>
      </c>
      <c r="Y71" s="10" t="e">
        <f t="shared" si="8"/>
        <v>#REF!</v>
      </c>
    </row>
    <row r="72" spans="2:25" ht="12" customHeight="1">
      <c r="B72" s="116">
        <v>65</v>
      </c>
      <c r="C72" s="176"/>
      <c r="D72" s="177" t="s">
        <v>260</v>
      </c>
      <c r="E72" s="178"/>
      <c r="F72" s="17">
        <f t="shared" si="0"/>
        <v>0</v>
      </c>
      <c r="G72" s="17"/>
      <c r="H72" s="17">
        <f>IFERROR(VLOOKUP(B72,Cargas!$B$3:$I$93,8,FALSE),0)</f>
        <v>0</v>
      </c>
      <c r="K72" s="116">
        <f t="shared" si="1"/>
        <v>0</v>
      </c>
      <c r="L72" s="6"/>
      <c r="M72" s="6"/>
      <c r="N72" s="4"/>
      <c r="W72" s="10">
        <f t="shared" si="7"/>
        <v>0</v>
      </c>
      <c r="X72" s="10">
        <f>+'MAYOR COLONES'!E77</f>
        <v>0</v>
      </c>
      <c r="Y72" s="10">
        <f t="shared" si="8"/>
        <v>0</v>
      </c>
    </row>
    <row r="73" spans="2:25" s="2" customFormat="1" ht="12" customHeight="1">
      <c r="B73" s="116">
        <v>66</v>
      </c>
      <c r="C73" s="176"/>
      <c r="D73" s="177" t="s">
        <v>164</v>
      </c>
      <c r="E73" s="178"/>
      <c r="F73" s="17">
        <f t="shared" si="0"/>
        <v>0</v>
      </c>
      <c r="G73" s="17"/>
      <c r="H73" s="17">
        <f>IFERROR(VLOOKUP(B73,Cargas!$B$3:$I$93,8,FALSE),0)</f>
        <v>0</v>
      </c>
      <c r="I73" s="182"/>
      <c r="J73" s="183"/>
      <c r="K73" s="116">
        <f t="shared" si="1"/>
        <v>0</v>
      </c>
      <c r="L73" s="6"/>
      <c r="M73" s="6"/>
      <c r="N73" s="11"/>
      <c r="W73" s="10">
        <f t="shared" si="7"/>
        <v>0</v>
      </c>
      <c r="X73" s="10">
        <f>+'MAYOR COLONES'!E78</f>
        <v>0</v>
      </c>
      <c r="Y73" s="10">
        <f t="shared" si="8"/>
        <v>0</v>
      </c>
    </row>
    <row r="74" spans="2:25" s="2" customFormat="1" ht="12" customHeight="1">
      <c r="B74" s="116">
        <v>67</v>
      </c>
      <c r="C74" s="179"/>
      <c r="D74" s="177" t="s">
        <v>37</v>
      </c>
      <c r="E74" s="178"/>
      <c r="F74" s="17">
        <f t="shared" si="0"/>
        <v>0</v>
      </c>
      <c r="G74" s="17"/>
      <c r="H74" s="17">
        <f>IFERROR(VLOOKUP(B74,Cargas!$B$3:$I$93,8,FALSE),0)</f>
        <v>0</v>
      </c>
      <c r="I74" s="182"/>
      <c r="J74" s="183"/>
      <c r="K74" s="116">
        <f t="shared" si="1"/>
        <v>0</v>
      </c>
      <c r="L74" s="6"/>
      <c r="M74" s="6"/>
      <c r="N74" s="11"/>
      <c r="W74" s="10">
        <f t="shared" si="7"/>
        <v>0</v>
      </c>
      <c r="X74" s="10" t="e">
        <f>+'MAYOR COLONES'!#REF!</f>
        <v>#REF!</v>
      </c>
      <c r="Y74" s="10" t="e">
        <f t="shared" si="8"/>
        <v>#REF!</v>
      </c>
    </row>
    <row r="75" spans="2:25" ht="12" customHeight="1">
      <c r="B75" s="116">
        <v>69</v>
      </c>
      <c r="C75" s="176"/>
      <c r="D75" s="177" t="s">
        <v>165</v>
      </c>
      <c r="E75" s="178"/>
      <c r="F75" s="17">
        <f t="shared" si="0"/>
        <v>0</v>
      </c>
      <c r="G75" s="17"/>
      <c r="H75" s="17">
        <f>IFERROR(VLOOKUP(B75,Cargas!$B$3:$I$93,8,FALSE),0)</f>
        <v>0</v>
      </c>
      <c r="K75" s="116">
        <f t="shared" si="1"/>
        <v>0</v>
      </c>
      <c r="L75" s="6"/>
      <c r="M75" s="6"/>
      <c r="N75" s="4"/>
      <c r="W75" s="10">
        <f t="shared" si="5"/>
        <v>0</v>
      </c>
      <c r="X75" s="10">
        <f>+'MAYOR COLONES'!E79</f>
        <v>0</v>
      </c>
      <c r="Y75" s="10">
        <f t="shared" si="6"/>
        <v>0</v>
      </c>
    </row>
    <row r="76" spans="2:25" s="2" customFormat="1" ht="12" customHeight="1">
      <c r="B76" s="116">
        <v>70</v>
      </c>
      <c r="C76" s="176"/>
      <c r="D76" s="177" t="s">
        <v>108</v>
      </c>
      <c r="E76" s="178"/>
      <c r="F76" s="17">
        <f t="shared" si="0"/>
        <v>0</v>
      </c>
      <c r="G76" s="17"/>
      <c r="H76" s="17">
        <f>IFERROR(VLOOKUP(B76,Cargas!$B$3:$I$93,8,FALSE),0)</f>
        <v>0</v>
      </c>
      <c r="I76" s="182"/>
      <c r="J76" s="183"/>
      <c r="K76" s="116">
        <f t="shared" si="1"/>
        <v>0</v>
      </c>
      <c r="L76" s="6"/>
      <c r="M76" s="6"/>
      <c r="N76" s="11"/>
      <c r="W76" s="10">
        <f t="shared" si="5"/>
        <v>0</v>
      </c>
      <c r="X76" s="10">
        <f>+'MAYOR COLONES'!E80</f>
        <v>0</v>
      </c>
      <c r="Y76" s="10">
        <f t="shared" si="6"/>
        <v>0</v>
      </c>
    </row>
    <row r="77" spans="2:25" s="2" customFormat="1">
      <c r="B77" s="116">
        <v>71</v>
      </c>
      <c r="C77" s="179"/>
      <c r="D77" s="177" t="s">
        <v>38</v>
      </c>
      <c r="E77" s="178"/>
      <c r="F77" s="17">
        <f t="shared" si="0"/>
        <v>0</v>
      </c>
      <c r="G77" s="17"/>
      <c r="H77" s="17">
        <f>IFERROR(VLOOKUP(B77,Cargas!$B$3:$I$93,8,FALSE),0)</f>
        <v>0</v>
      </c>
      <c r="I77" s="182"/>
      <c r="J77" s="183"/>
      <c r="K77" s="116">
        <f t="shared" si="1"/>
        <v>0</v>
      </c>
      <c r="L77" s="6"/>
      <c r="M77" s="6"/>
      <c r="N77" s="11"/>
      <c r="W77" s="10">
        <f t="shared" si="5"/>
        <v>0</v>
      </c>
      <c r="X77" s="10">
        <f>+'MAYOR COLONES'!E81</f>
        <v>0</v>
      </c>
      <c r="Y77" s="10">
        <f t="shared" si="6"/>
        <v>0</v>
      </c>
    </row>
    <row r="78" spans="2:25" ht="12" customHeight="1">
      <c r="B78" s="116">
        <v>72</v>
      </c>
      <c r="C78" s="176"/>
      <c r="D78" s="177" t="s">
        <v>166</v>
      </c>
      <c r="E78" s="178"/>
      <c r="F78" s="17">
        <f t="shared" si="0"/>
        <v>0</v>
      </c>
      <c r="G78" s="17"/>
      <c r="H78" s="17">
        <f>IFERROR(VLOOKUP(B78,Cargas!$B$3:$I$93,8,FALSE),0)</f>
        <v>0</v>
      </c>
      <c r="K78" s="116">
        <f t="shared" si="1"/>
        <v>0</v>
      </c>
      <c r="L78" s="6"/>
      <c r="M78" s="6"/>
      <c r="N78" s="4"/>
      <c r="W78" s="10">
        <f t="shared" si="5"/>
        <v>0</v>
      </c>
      <c r="X78" s="10">
        <f>+'MAYOR COLONES'!E84</f>
        <v>0</v>
      </c>
      <c r="Y78" s="10">
        <f t="shared" si="6"/>
        <v>0</v>
      </c>
    </row>
    <row r="79" spans="2:25" s="2" customFormat="1" ht="12" customHeight="1">
      <c r="B79" s="116">
        <v>73</v>
      </c>
      <c r="C79" s="176"/>
      <c r="D79" s="177" t="s">
        <v>167</v>
      </c>
      <c r="E79" s="178"/>
      <c r="F79" s="17">
        <f t="shared" si="0"/>
        <v>0</v>
      </c>
      <c r="G79" s="17"/>
      <c r="H79" s="17">
        <f>IFERROR(VLOOKUP(B79,Cargas!$B$3:$I$93,8,FALSE),0)</f>
        <v>0</v>
      </c>
      <c r="I79" s="182"/>
      <c r="J79" s="183"/>
      <c r="K79" s="116">
        <f t="shared" ref="K79:K142" si="9">+F79/$K$9</f>
        <v>0</v>
      </c>
      <c r="L79" s="6"/>
      <c r="M79" s="6"/>
      <c r="N79" s="11"/>
      <c r="W79" s="10">
        <f t="shared" si="5"/>
        <v>0</v>
      </c>
      <c r="X79" s="10">
        <f>+'MAYOR COLONES'!E85</f>
        <v>0</v>
      </c>
      <c r="Y79" s="10">
        <f t="shared" si="6"/>
        <v>0</v>
      </c>
    </row>
    <row r="80" spans="2:25" s="2" customFormat="1" ht="12" customHeight="1">
      <c r="B80" s="116">
        <v>74</v>
      </c>
      <c r="C80" s="176"/>
      <c r="D80" s="177" t="s">
        <v>153</v>
      </c>
      <c r="E80" s="178"/>
      <c r="F80" s="17">
        <f t="shared" ref="F80:F143" si="10">+SUM(H80:H80)</f>
        <v>0</v>
      </c>
      <c r="G80" s="17"/>
      <c r="H80" s="17">
        <f>IFERROR(VLOOKUP(B80,Cargas!$B$3:$I$93,8,FALSE),0)</f>
        <v>0</v>
      </c>
      <c r="I80" s="182"/>
      <c r="J80" s="183"/>
      <c r="K80" s="116">
        <f t="shared" si="9"/>
        <v>0</v>
      </c>
      <c r="L80" s="6"/>
      <c r="M80" s="6"/>
      <c r="N80" s="11"/>
      <c r="W80" s="10">
        <f t="shared" si="5"/>
        <v>0</v>
      </c>
      <c r="X80" s="10">
        <f>+'MAYOR COLONES'!E86</f>
        <v>0</v>
      </c>
      <c r="Y80" s="10">
        <f t="shared" si="6"/>
        <v>0</v>
      </c>
    </row>
    <row r="81" spans="2:25" ht="12" customHeight="1">
      <c r="B81" s="116">
        <v>75</v>
      </c>
      <c r="C81" s="176"/>
      <c r="D81" s="177" t="s">
        <v>168</v>
      </c>
      <c r="E81" s="178"/>
      <c r="F81" s="17">
        <f t="shared" si="10"/>
        <v>0</v>
      </c>
      <c r="G81" s="17"/>
      <c r="H81" s="17">
        <f>IFERROR(VLOOKUP(B81,Cargas!$B$3:$I$93,8,FALSE),0)</f>
        <v>0</v>
      </c>
      <c r="K81" s="116">
        <f t="shared" si="9"/>
        <v>0</v>
      </c>
      <c r="L81" s="6"/>
      <c r="M81" s="6"/>
      <c r="N81" s="4"/>
      <c r="W81" s="10">
        <f t="shared" si="5"/>
        <v>0</v>
      </c>
      <c r="X81" s="10">
        <f>+'MAYOR COLONES'!E89</f>
        <v>0</v>
      </c>
      <c r="Y81" s="10">
        <f t="shared" si="6"/>
        <v>0</v>
      </c>
    </row>
    <row r="82" spans="2:25" ht="12" customHeight="1">
      <c r="B82" s="116">
        <v>76</v>
      </c>
      <c r="C82" s="176"/>
      <c r="D82" s="177" t="s">
        <v>44</v>
      </c>
      <c r="E82" s="178"/>
      <c r="F82" s="17">
        <f t="shared" si="10"/>
        <v>0</v>
      </c>
      <c r="G82" s="17"/>
      <c r="H82" s="17">
        <f>IFERROR(VLOOKUP(B82,Cargas!$B$3:$I$93,8,FALSE),0)</f>
        <v>0</v>
      </c>
      <c r="K82" s="116">
        <f t="shared" si="9"/>
        <v>0</v>
      </c>
      <c r="L82" s="6"/>
      <c r="M82" s="6"/>
      <c r="N82" s="4"/>
      <c r="W82" s="10">
        <f>+F82</f>
        <v>0</v>
      </c>
      <c r="X82" s="10">
        <f>+'MAYOR COLONES'!E89</f>
        <v>0</v>
      </c>
      <c r="Y82" s="10">
        <f>+X82+W82</f>
        <v>0</v>
      </c>
    </row>
    <row r="83" spans="2:25" s="2" customFormat="1" ht="12" customHeight="1">
      <c r="B83" s="116">
        <v>77</v>
      </c>
      <c r="C83" s="176"/>
      <c r="D83" s="177" t="s">
        <v>134</v>
      </c>
      <c r="E83" s="178"/>
      <c r="F83" s="17">
        <f t="shared" si="10"/>
        <v>0</v>
      </c>
      <c r="G83" s="17"/>
      <c r="H83" s="17">
        <f>IFERROR(VLOOKUP(B83,Cargas!$B$3:$I$93,8,FALSE),0)</f>
        <v>0</v>
      </c>
      <c r="I83" s="182"/>
      <c r="J83" s="183"/>
      <c r="K83" s="116">
        <f t="shared" si="9"/>
        <v>0</v>
      </c>
      <c r="L83" s="6"/>
      <c r="M83" s="6"/>
      <c r="N83" s="11"/>
      <c r="W83" s="10">
        <f>+F83</f>
        <v>0</v>
      </c>
      <c r="X83" s="10" t="e">
        <f>+'MAYOR COLONES'!#REF!</f>
        <v>#REF!</v>
      </c>
      <c r="Y83" s="10" t="e">
        <f>+X83+W83</f>
        <v>#REF!</v>
      </c>
    </row>
    <row r="84" spans="2:25" s="2" customFormat="1" ht="12" customHeight="1">
      <c r="B84" s="116">
        <v>78</v>
      </c>
      <c r="C84" s="179"/>
      <c r="D84" s="177" t="s">
        <v>230</v>
      </c>
      <c r="E84" s="178"/>
      <c r="F84" s="18">
        <f>+SUM(H84:H84)</f>
        <v>0</v>
      </c>
      <c r="G84" s="17"/>
      <c r="H84" s="17">
        <f>IFERROR(VLOOKUP(B84,Cargas!$B$3:$I$93,8,FALSE),0)</f>
        <v>0</v>
      </c>
      <c r="I84" s="182"/>
      <c r="J84" s="183"/>
      <c r="K84" s="116">
        <f t="shared" si="9"/>
        <v>0</v>
      </c>
      <c r="L84" s="6"/>
      <c r="M84" s="6"/>
      <c r="N84" s="11"/>
      <c r="W84" s="10">
        <f>+F84</f>
        <v>0</v>
      </c>
      <c r="X84" s="10">
        <f>+'MAYOR COLONES'!E90</f>
        <v>0</v>
      </c>
      <c r="Y84" s="10">
        <f>+X84+W84</f>
        <v>0</v>
      </c>
    </row>
    <row r="85" spans="2:25" ht="12" customHeight="1">
      <c r="B85" s="116">
        <v>79</v>
      </c>
      <c r="C85" s="179"/>
      <c r="D85" s="177" t="s">
        <v>231</v>
      </c>
      <c r="E85" s="178"/>
      <c r="F85" s="17">
        <f t="shared" si="10"/>
        <v>0</v>
      </c>
      <c r="G85" s="17"/>
      <c r="H85" s="17">
        <f>IFERROR(VLOOKUP(B85,Cargas!$B$3:$I$93,8,FALSE),0)</f>
        <v>0</v>
      </c>
      <c r="K85" s="116">
        <f t="shared" si="9"/>
        <v>0</v>
      </c>
      <c r="L85" s="6"/>
      <c r="M85" s="6"/>
      <c r="N85" s="4"/>
      <c r="W85" s="10">
        <f t="shared" si="5"/>
        <v>0</v>
      </c>
      <c r="X85" s="10">
        <f>+'MAYOR COLONES'!E91</f>
        <v>0</v>
      </c>
      <c r="Y85" s="10">
        <f t="shared" si="6"/>
        <v>0</v>
      </c>
    </row>
    <row r="86" spans="2:25" s="2" customFormat="1" ht="12" customHeight="1">
      <c r="B86" s="116">
        <v>80</v>
      </c>
      <c r="C86" s="179"/>
      <c r="D86" s="177" t="s">
        <v>39</v>
      </c>
      <c r="E86" s="178"/>
      <c r="F86" s="17">
        <f t="shared" si="10"/>
        <v>0</v>
      </c>
      <c r="G86" s="17"/>
      <c r="H86" s="17">
        <f>IFERROR(VLOOKUP(B86,Cargas!$B$3:$I$93,8,FALSE),0)</f>
        <v>0</v>
      </c>
      <c r="I86" s="182"/>
      <c r="J86" s="183"/>
      <c r="K86" s="116">
        <f t="shared" si="9"/>
        <v>0</v>
      </c>
      <c r="L86" s="6"/>
      <c r="M86" s="6"/>
      <c r="N86" s="11"/>
      <c r="W86" s="10"/>
      <c r="X86" s="10"/>
      <c r="Y86" s="10"/>
    </row>
    <row r="87" spans="2:25" s="2" customFormat="1" ht="12" customHeight="1">
      <c r="B87" s="116">
        <v>81</v>
      </c>
      <c r="C87" s="179"/>
      <c r="D87" s="177" t="s">
        <v>169</v>
      </c>
      <c r="E87" s="178"/>
      <c r="F87" s="17">
        <f t="shared" si="10"/>
        <v>0</v>
      </c>
      <c r="G87" s="17"/>
      <c r="H87" s="17">
        <f>IFERROR(VLOOKUP(B87,Cargas!$B$3:$I$93,8,FALSE),0)</f>
        <v>0</v>
      </c>
      <c r="I87" s="182"/>
      <c r="J87" s="183"/>
      <c r="K87" s="116">
        <f t="shared" si="9"/>
        <v>0</v>
      </c>
      <c r="L87" s="6"/>
      <c r="M87" s="6"/>
      <c r="N87" s="11"/>
      <c r="W87" s="10"/>
      <c r="X87" s="10"/>
      <c r="Y87" s="10"/>
    </row>
    <row r="88" spans="2:25" s="2" customFormat="1" ht="12" customHeight="1">
      <c r="B88" s="116">
        <v>82</v>
      </c>
      <c r="C88" s="176"/>
      <c r="D88" s="177" t="s">
        <v>40</v>
      </c>
      <c r="E88" s="178"/>
      <c r="F88" s="18">
        <f>+SUM(H88:H88)</f>
        <v>0</v>
      </c>
      <c r="G88" s="17"/>
      <c r="H88" s="17">
        <f>IFERROR(VLOOKUP(B88,Cargas!$B$3:$I$93,8,FALSE),0)</f>
        <v>0</v>
      </c>
      <c r="I88" s="182"/>
      <c r="J88" s="183"/>
      <c r="K88" s="116">
        <f t="shared" si="9"/>
        <v>0</v>
      </c>
      <c r="L88" s="6"/>
      <c r="M88" s="6"/>
      <c r="N88" s="11"/>
      <c r="W88" s="10"/>
      <c r="X88" s="10"/>
      <c r="Y88" s="10"/>
    </row>
    <row r="89" spans="2:25" ht="12" customHeight="1">
      <c r="B89" s="116">
        <v>83</v>
      </c>
      <c r="C89" s="176"/>
      <c r="D89" s="177" t="s">
        <v>109</v>
      </c>
      <c r="E89" s="178"/>
      <c r="F89" s="17">
        <f t="shared" si="10"/>
        <v>0</v>
      </c>
      <c r="G89" s="17"/>
      <c r="H89" s="17">
        <f>IFERROR(VLOOKUP(B89,Cargas!$B$3:$I$93,8,FALSE),0)</f>
        <v>0</v>
      </c>
      <c r="K89" s="116">
        <f t="shared" si="9"/>
        <v>0</v>
      </c>
      <c r="L89" s="6"/>
      <c r="M89" s="6"/>
      <c r="N89" s="4"/>
      <c r="W89" s="10">
        <f t="shared" si="5"/>
        <v>0</v>
      </c>
      <c r="X89" s="10" t="e">
        <f>+'MAYOR COLONES'!#REF!</f>
        <v>#REF!</v>
      </c>
      <c r="Y89" s="10" t="e">
        <f t="shared" si="6"/>
        <v>#REF!</v>
      </c>
    </row>
    <row r="90" spans="2:25" s="2" customFormat="1" ht="12" customHeight="1">
      <c r="B90" s="116">
        <v>84</v>
      </c>
      <c r="C90" s="176"/>
      <c r="D90" s="177" t="s">
        <v>170</v>
      </c>
      <c r="E90" s="178"/>
      <c r="F90" s="17">
        <f t="shared" si="10"/>
        <v>0</v>
      </c>
      <c r="G90" s="17"/>
      <c r="H90" s="17">
        <f>IFERROR(VLOOKUP(B90,Cargas!$B$3:$I$93,8,FALSE),0)</f>
        <v>0</v>
      </c>
      <c r="I90" s="182"/>
      <c r="J90" s="183"/>
      <c r="K90" s="116">
        <f t="shared" si="9"/>
        <v>0</v>
      </c>
      <c r="L90" s="6"/>
      <c r="M90" s="6"/>
      <c r="N90" s="11"/>
      <c r="W90" s="10">
        <f t="shared" si="5"/>
        <v>0</v>
      </c>
      <c r="X90" s="10" t="e">
        <f>+'MAYOR COLONES'!#REF!</f>
        <v>#REF!</v>
      </c>
      <c r="Y90" s="10" t="e">
        <f t="shared" si="6"/>
        <v>#REF!</v>
      </c>
    </row>
    <row r="91" spans="2:25" s="2" customFormat="1" ht="12" customHeight="1">
      <c r="B91" s="116">
        <v>85</v>
      </c>
      <c r="C91" s="176"/>
      <c r="D91" s="177" t="s">
        <v>253</v>
      </c>
      <c r="E91" s="178"/>
      <c r="F91" s="18">
        <f>+SUM(H91:H91)</f>
        <v>0</v>
      </c>
      <c r="G91" s="17"/>
      <c r="H91" s="17">
        <f>IFERROR(VLOOKUP(B91,Cargas!$B$3:$I$93,8,FALSE),0)</f>
        <v>0</v>
      </c>
      <c r="I91" s="182"/>
      <c r="J91" s="183"/>
      <c r="K91" s="116">
        <f t="shared" si="9"/>
        <v>0</v>
      </c>
      <c r="L91" s="6"/>
      <c r="M91" s="6"/>
      <c r="N91" s="11"/>
      <c r="W91" s="10" t="e">
        <f>+#REF!</f>
        <v>#REF!</v>
      </c>
      <c r="X91" s="10" t="e">
        <f>+'MAYOR COLONES'!#REF!</f>
        <v>#REF!</v>
      </c>
      <c r="Y91" s="10" t="e">
        <f t="shared" si="6"/>
        <v>#REF!</v>
      </c>
    </row>
    <row r="92" spans="2:25">
      <c r="B92" s="116">
        <v>86</v>
      </c>
      <c r="C92" s="176"/>
      <c r="D92" s="177" t="s">
        <v>102</v>
      </c>
      <c r="E92" s="178"/>
      <c r="F92" s="17">
        <f t="shared" si="10"/>
        <v>0</v>
      </c>
      <c r="G92" s="17"/>
      <c r="H92" s="17">
        <f>IFERROR(VLOOKUP(B92,Cargas!$B$3:$I$93,8,FALSE),0)</f>
        <v>0</v>
      </c>
      <c r="K92" s="116">
        <f t="shared" si="9"/>
        <v>0</v>
      </c>
      <c r="L92" s="6"/>
      <c r="M92" s="6"/>
      <c r="N92" s="4"/>
      <c r="W92" s="10">
        <f>+F92</f>
        <v>0</v>
      </c>
      <c r="X92" s="10">
        <f>+'MAYOR COLONES'!E99</f>
        <v>0</v>
      </c>
      <c r="Y92" s="10">
        <f>+X92+W92</f>
        <v>0</v>
      </c>
    </row>
    <row r="93" spans="2:25" s="2" customFormat="1" ht="12" customHeight="1">
      <c r="B93" s="116">
        <v>87</v>
      </c>
      <c r="C93" s="176"/>
      <c r="D93" s="177" t="s">
        <v>110</v>
      </c>
      <c r="E93" s="178"/>
      <c r="F93" s="18">
        <f t="shared" si="10"/>
        <v>0</v>
      </c>
      <c r="G93" s="17"/>
      <c r="H93" s="17">
        <f>IFERROR(VLOOKUP(B93,Cargas!$B$3:$I$93,8,FALSE),0)</f>
        <v>0</v>
      </c>
      <c r="I93" s="182"/>
      <c r="J93" s="183"/>
      <c r="K93" s="116">
        <f t="shared" si="9"/>
        <v>0</v>
      </c>
      <c r="L93" s="6"/>
      <c r="M93" s="6"/>
      <c r="N93" s="11"/>
      <c r="W93" s="10">
        <f>+F93</f>
        <v>0</v>
      </c>
      <c r="X93" s="10" t="e">
        <f>+'MAYOR COLONES'!#REF!</f>
        <v>#REF!</v>
      </c>
      <c r="Y93" s="10" t="e">
        <f>+X93+W93</f>
        <v>#REF!</v>
      </c>
    </row>
    <row r="94" spans="2:25" s="2" customFormat="1" ht="12" customHeight="1">
      <c r="B94" s="116">
        <v>88</v>
      </c>
      <c r="C94" s="176"/>
      <c r="D94" s="177" t="s">
        <v>171</v>
      </c>
      <c r="E94" s="178"/>
      <c r="F94" s="17">
        <f t="shared" si="10"/>
        <v>0</v>
      </c>
      <c r="G94" s="17"/>
      <c r="H94" s="17">
        <f>IFERROR(VLOOKUP(B94,Cargas!$B$3:$I$93,8,FALSE),0)</f>
        <v>0</v>
      </c>
      <c r="I94" s="182"/>
      <c r="J94" s="183"/>
      <c r="K94" s="116">
        <f t="shared" si="9"/>
        <v>0</v>
      </c>
      <c r="L94" s="6"/>
      <c r="M94" s="6"/>
      <c r="N94" s="11"/>
      <c r="W94" s="10">
        <f>+F94</f>
        <v>0</v>
      </c>
      <c r="X94" s="10">
        <f>+'MAYOR COLONES'!E100</f>
        <v>0</v>
      </c>
      <c r="Y94" s="10">
        <f>+X94+W94</f>
        <v>0</v>
      </c>
    </row>
    <row r="95" spans="2:25" ht="12" customHeight="1">
      <c r="B95" s="116">
        <v>89</v>
      </c>
      <c r="C95" s="176"/>
      <c r="D95" s="177" t="s">
        <v>103</v>
      </c>
      <c r="E95" s="178"/>
      <c r="F95" s="18">
        <f>+SUM(H95:H95)</f>
        <v>0</v>
      </c>
      <c r="G95" s="17"/>
      <c r="H95" s="17">
        <f>IFERROR(VLOOKUP(B95,Cargas!$B$3:$I$93,8,FALSE),0)</f>
        <v>0</v>
      </c>
      <c r="K95" s="116">
        <f t="shared" si="9"/>
        <v>0</v>
      </c>
      <c r="L95" s="6"/>
      <c r="M95" s="6"/>
      <c r="N95" s="4"/>
      <c r="W95" s="10">
        <f t="shared" si="5"/>
        <v>0</v>
      </c>
      <c r="X95" s="10" t="e">
        <f>+'MAYOR COLONES'!#REF!</f>
        <v>#REF!</v>
      </c>
      <c r="Y95" s="10" t="e">
        <f t="shared" si="6"/>
        <v>#REF!</v>
      </c>
    </row>
    <row r="96" spans="2:25" s="2" customFormat="1" ht="12" customHeight="1">
      <c r="B96" s="116">
        <v>90</v>
      </c>
      <c r="C96" s="176"/>
      <c r="D96" s="177" t="s">
        <v>232</v>
      </c>
      <c r="E96" s="178"/>
      <c r="F96" s="17">
        <f t="shared" si="10"/>
        <v>0</v>
      </c>
      <c r="G96" s="17"/>
      <c r="H96" s="17">
        <f>IFERROR(VLOOKUP(B96,Cargas!$B$3:$I$93,8,FALSE),0)</f>
        <v>0</v>
      </c>
      <c r="I96" s="182"/>
      <c r="J96" s="183"/>
      <c r="K96" s="116">
        <f t="shared" si="9"/>
        <v>0</v>
      </c>
      <c r="L96" s="6"/>
      <c r="M96" s="6"/>
      <c r="N96" s="11"/>
      <c r="W96" s="10">
        <f t="shared" si="5"/>
        <v>0</v>
      </c>
      <c r="X96" s="10">
        <f>+'MAYOR COLONES'!E101</f>
        <v>0</v>
      </c>
      <c r="Y96" s="10">
        <f t="shared" si="6"/>
        <v>0</v>
      </c>
    </row>
    <row r="97" spans="2:25" s="2" customFormat="1" ht="12" customHeight="1">
      <c r="B97" s="116">
        <v>91</v>
      </c>
      <c r="C97" s="176"/>
      <c r="D97" s="177" t="s">
        <v>76</v>
      </c>
      <c r="E97" s="178"/>
      <c r="F97" s="17">
        <f t="shared" si="10"/>
        <v>0</v>
      </c>
      <c r="G97" s="17"/>
      <c r="H97" s="17">
        <f>IFERROR(VLOOKUP(B97,Cargas!$B$3:$I$93,8,FALSE),0)</f>
        <v>0</v>
      </c>
      <c r="I97" s="182"/>
      <c r="J97" s="183"/>
      <c r="K97" s="116">
        <f t="shared" si="9"/>
        <v>0</v>
      </c>
      <c r="L97" s="6"/>
      <c r="M97" s="6"/>
      <c r="N97" s="11"/>
      <c r="W97" s="10">
        <f t="shared" si="5"/>
        <v>0</v>
      </c>
      <c r="X97" s="10" t="e">
        <f>+'MAYOR COLONES'!#REF!</f>
        <v>#REF!</v>
      </c>
      <c r="Y97" s="10" t="e">
        <f t="shared" si="6"/>
        <v>#REF!</v>
      </c>
    </row>
    <row r="98" spans="2:25" ht="12" customHeight="1">
      <c r="B98" s="116">
        <v>92</v>
      </c>
      <c r="C98" s="176"/>
      <c r="D98" s="177" t="s">
        <v>53</v>
      </c>
      <c r="E98" s="178"/>
      <c r="F98" s="17">
        <f t="shared" si="10"/>
        <v>0</v>
      </c>
      <c r="G98" s="17"/>
      <c r="H98" s="17">
        <f>IFERROR(VLOOKUP(B98,Cargas!$B$3:$I$93,8,FALSE),0)</f>
        <v>0</v>
      </c>
      <c r="K98" s="116">
        <f t="shared" si="9"/>
        <v>0</v>
      </c>
      <c r="L98" s="6"/>
      <c r="M98" s="6"/>
      <c r="N98" s="4"/>
      <c r="W98" s="10">
        <f t="shared" si="5"/>
        <v>0</v>
      </c>
      <c r="X98" s="10">
        <f>+'MAYOR COLONES'!E102</f>
        <v>0</v>
      </c>
      <c r="Y98" s="10">
        <f t="shared" si="6"/>
        <v>0</v>
      </c>
    </row>
    <row r="99" spans="2:25" ht="12" customHeight="1">
      <c r="B99" s="116">
        <v>93</v>
      </c>
      <c r="C99" s="176"/>
      <c r="D99" s="177" t="s">
        <v>54</v>
      </c>
      <c r="E99" s="178"/>
      <c r="F99" s="17">
        <f t="shared" si="10"/>
        <v>0</v>
      </c>
      <c r="G99" s="17"/>
      <c r="H99" s="17">
        <f>IFERROR(VLOOKUP(B99,Cargas!$B$3:$I$93,8,FALSE),0)</f>
        <v>0</v>
      </c>
      <c r="K99" s="116">
        <f t="shared" si="9"/>
        <v>0</v>
      </c>
      <c r="L99" s="6"/>
      <c r="M99" s="6"/>
      <c r="N99" s="4"/>
      <c r="W99" s="10">
        <f t="shared" si="5"/>
        <v>0</v>
      </c>
      <c r="X99" s="10" t="e">
        <f>+'MAYOR COLONES'!#REF!</f>
        <v>#REF!</v>
      </c>
      <c r="Y99" s="10" t="e">
        <f t="shared" si="6"/>
        <v>#REF!</v>
      </c>
    </row>
    <row r="100" spans="2:25" s="2" customFormat="1" ht="12" customHeight="1">
      <c r="B100" s="116">
        <v>94</v>
      </c>
      <c r="C100" s="176"/>
      <c r="D100" s="177" t="s">
        <v>55</v>
      </c>
      <c r="E100" s="178"/>
      <c r="F100" s="17">
        <f t="shared" si="10"/>
        <v>0</v>
      </c>
      <c r="G100" s="17"/>
      <c r="H100" s="17">
        <f>IFERROR(VLOOKUP(B100,Cargas!$B$3:$I$93,8,FALSE),0)</f>
        <v>0</v>
      </c>
      <c r="I100" s="182"/>
      <c r="J100" s="183"/>
      <c r="K100" s="116">
        <f t="shared" si="9"/>
        <v>0</v>
      </c>
      <c r="L100" s="6"/>
      <c r="M100" s="6"/>
      <c r="N100" s="11"/>
      <c r="W100" s="10">
        <f t="shared" si="5"/>
        <v>0</v>
      </c>
      <c r="X100" s="10">
        <f>+'MAYOR COLONES'!E104</f>
        <v>0</v>
      </c>
      <c r="Y100" s="10">
        <f t="shared" si="6"/>
        <v>0</v>
      </c>
    </row>
    <row r="101" spans="2:25" s="2" customFormat="1" ht="12" customHeight="1">
      <c r="B101" s="116">
        <v>95</v>
      </c>
      <c r="C101" s="176"/>
      <c r="D101" s="177" t="s">
        <v>68</v>
      </c>
      <c r="E101" s="178"/>
      <c r="F101" s="17">
        <f t="shared" si="10"/>
        <v>0</v>
      </c>
      <c r="G101" s="17"/>
      <c r="H101" s="17">
        <f>IFERROR(VLOOKUP(B101,Cargas!$B$3:$I$93,8,FALSE),0)</f>
        <v>0</v>
      </c>
      <c r="I101" s="182"/>
      <c r="J101" s="183"/>
      <c r="K101" s="116">
        <f t="shared" si="9"/>
        <v>0</v>
      </c>
      <c r="L101" s="6"/>
      <c r="M101" s="6"/>
      <c r="N101" s="11"/>
      <c r="W101" s="10">
        <f t="shared" si="5"/>
        <v>0</v>
      </c>
      <c r="X101" s="10" t="e">
        <f>+'MAYOR COLONES'!#REF!</f>
        <v>#REF!</v>
      </c>
      <c r="Y101" s="10" t="e">
        <f t="shared" si="6"/>
        <v>#REF!</v>
      </c>
    </row>
    <row r="102" spans="2:25" ht="12" customHeight="1">
      <c r="B102" s="116">
        <v>97</v>
      </c>
      <c r="C102" s="176"/>
      <c r="D102" s="177" t="s">
        <v>77</v>
      </c>
      <c r="E102" s="178"/>
      <c r="F102" s="18">
        <f>+SUM(H102:H102)</f>
        <v>0</v>
      </c>
      <c r="G102" s="17"/>
      <c r="H102" s="17">
        <f>IFERROR(VLOOKUP(B102,Cargas!$B$3:$I$93,8,FALSE),0)</f>
        <v>0</v>
      </c>
      <c r="K102" s="116">
        <f t="shared" si="9"/>
        <v>0</v>
      </c>
      <c r="L102" s="6"/>
      <c r="M102" s="6"/>
      <c r="N102" s="4"/>
      <c r="W102" s="10">
        <f t="shared" si="5"/>
        <v>0</v>
      </c>
      <c r="X102" s="10">
        <f>+'MAYOR COLONES'!E105</f>
        <v>0</v>
      </c>
      <c r="Y102" s="10">
        <f t="shared" si="6"/>
        <v>0</v>
      </c>
    </row>
    <row r="103" spans="2:25" ht="12" customHeight="1">
      <c r="B103" s="116">
        <v>98</v>
      </c>
      <c r="C103" s="176"/>
      <c r="D103" s="177" t="s">
        <v>41</v>
      </c>
      <c r="E103" s="178"/>
      <c r="F103" s="17">
        <f t="shared" si="10"/>
        <v>0</v>
      </c>
      <c r="G103" s="17"/>
      <c r="H103" s="17">
        <f>IFERROR(VLOOKUP(B103,Cargas!$B$3:$I$93,8,FALSE),0)</f>
        <v>0</v>
      </c>
      <c r="K103" s="116">
        <f t="shared" si="9"/>
        <v>0</v>
      </c>
      <c r="L103" s="6"/>
      <c r="M103" s="6"/>
      <c r="N103" s="4"/>
      <c r="W103" s="10">
        <f t="shared" si="5"/>
        <v>0</v>
      </c>
      <c r="X103" s="10" t="e">
        <f>+'MAYOR COLONES'!#REF!</f>
        <v>#REF!</v>
      </c>
      <c r="Y103" s="10" t="e">
        <f t="shared" si="6"/>
        <v>#REF!</v>
      </c>
    </row>
    <row r="104" spans="2:25" s="2" customFormat="1" ht="12" customHeight="1">
      <c r="B104" s="116">
        <v>99</v>
      </c>
      <c r="C104" s="176"/>
      <c r="D104" s="177" t="s">
        <v>261</v>
      </c>
      <c r="E104" s="178"/>
      <c r="F104" s="17">
        <f t="shared" si="10"/>
        <v>0</v>
      </c>
      <c r="G104" s="17"/>
      <c r="H104" s="17">
        <f>IFERROR(VLOOKUP(B104,Cargas!$B$3:$I$93,8,FALSE),0)</f>
        <v>0</v>
      </c>
      <c r="I104" s="182"/>
      <c r="J104" s="183"/>
      <c r="K104" s="116">
        <f t="shared" si="9"/>
        <v>0</v>
      </c>
      <c r="L104" s="6"/>
      <c r="M104" s="6"/>
      <c r="N104" s="11"/>
      <c r="W104" s="10">
        <f t="shared" si="5"/>
        <v>0</v>
      </c>
      <c r="X104" s="10">
        <f>+'MAYOR COLONES'!E108</f>
        <v>0</v>
      </c>
      <c r="Y104" s="10">
        <f t="shared" si="6"/>
        <v>0</v>
      </c>
    </row>
    <row r="105" spans="2:25" s="2" customFormat="1" ht="12" customHeight="1">
      <c r="B105" s="116">
        <v>100</v>
      </c>
      <c r="C105" s="176"/>
      <c r="D105" s="177" t="s">
        <v>42</v>
      </c>
      <c r="E105" s="178"/>
      <c r="F105" s="17">
        <f t="shared" si="10"/>
        <v>0</v>
      </c>
      <c r="G105" s="17"/>
      <c r="H105" s="17">
        <f>IFERROR(VLOOKUP(B105,Cargas!$B$3:$I$93,8,FALSE),0)</f>
        <v>0</v>
      </c>
      <c r="I105" s="182"/>
      <c r="J105" s="183"/>
      <c r="K105" s="116">
        <f t="shared" si="9"/>
        <v>0</v>
      </c>
      <c r="L105" s="6"/>
      <c r="M105" s="6"/>
      <c r="N105" s="11"/>
      <c r="W105" s="10">
        <f t="shared" si="5"/>
        <v>0</v>
      </c>
      <c r="X105" s="10">
        <f>+'MAYOR COLONES'!E109</f>
        <v>0</v>
      </c>
      <c r="Y105" s="10">
        <f t="shared" si="6"/>
        <v>0</v>
      </c>
    </row>
    <row r="106" spans="2:25" ht="12" customHeight="1">
      <c r="B106" s="116">
        <v>101</v>
      </c>
      <c r="C106" s="176"/>
      <c r="D106" s="177" t="s">
        <v>45</v>
      </c>
      <c r="E106" s="178"/>
      <c r="F106" s="17">
        <f t="shared" si="10"/>
        <v>0</v>
      </c>
      <c r="G106" s="17"/>
      <c r="H106" s="17">
        <f>IFERROR(VLOOKUP(B106,Cargas!$B$3:$I$93,8,FALSE),0)</f>
        <v>0</v>
      </c>
      <c r="K106" s="116">
        <f t="shared" si="9"/>
        <v>0</v>
      </c>
      <c r="L106" s="6"/>
      <c r="M106" s="6"/>
      <c r="N106" s="4"/>
      <c r="W106" s="10">
        <f t="shared" si="5"/>
        <v>0</v>
      </c>
      <c r="X106" s="10" t="e">
        <f>+'MAYOR COLONES'!#REF!</f>
        <v>#REF!</v>
      </c>
      <c r="Y106" s="10" t="e">
        <f t="shared" si="6"/>
        <v>#REF!</v>
      </c>
    </row>
    <row r="107" spans="2:25">
      <c r="B107" s="116">
        <v>102</v>
      </c>
      <c r="C107" s="176"/>
      <c r="D107" s="177" t="s">
        <v>172</v>
      </c>
      <c r="E107" s="178"/>
      <c r="F107" s="17">
        <f t="shared" si="10"/>
        <v>0</v>
      </c>
      <c r="G107" s="17"/>
      <c r="H107" s="17">
        <f>IFERROR(VLOOKUP(B107,Cargas!$B$3:$I$93,8,FALSE),0)</f>
        <v>0</v>
      </c>
      <c r="K107" s="116">
        <f t="shared" si="9"/>
        <v>0</v>
      </c>
      <c r="L107" s="6"/>
      <c r="M107" s="6"/>
      <c r="N107" s="4"/>
      <c r="W107" s="10">
        <f t="shared" ref="W107:W140" si="11">+F107</f>
        <v>0</v>
      </c>
      <c r="X107" s="10">
        <f>+'MAYOR COLONES'!E111</f>
        <v>0</v>
      </c>
      <c r="Y107" s="10">
        <f t="shared" ref="Y107:Y140" si="12">+X107+W107</f>
        <v>0</v>
      </c>
    </row>
    <row r="108" spans="2:25" ht="12" customHeight="1">
      <c r="B108" s="116">
        <v>103</v>
      </c>
      <c r="C108" s="176"/>
      <c r="D108" s="177" t="s">
        <v>46</v>
      </c>
      <c r="E108" s="178"/>
      <c r="F108" s="18">
        <f>+SUM(H108:H108)</f>
        <v>0</v>
      </c>
      <c r="G108" s="17"/>
      <c r="H108" s="17">
        <f>IFERROR(VLOOKUP(B108,Cargas!$B$3:$I$93,8,FALSE),0)</f>
        <v>0</v>
      </c>
      <c r="K108" s="116">
        <f t="shared" si="9"/>
        <v>0</v>
      </c>
      <c r="L108" s="6"/>
      <c r="M108" s="6"/>
      <c r="N108" s="4"/>
      <c r="W108" s="10">
        <f t="shared" si="11"/>
        <v>0</v>
      </c>
      <c r="X108" s="10">
        <f>+'MAYOR COLONES'!E113</f>
        <v>0</v>
      </c>
      <c r="Y108" s="10">
        <f t="shared" si="12"/>
        <v>0</v>
      </c>
    </row>
    <row r="109" spans="2:25" ht="12" customHeight="1">
      <c r="B109" s="116">
        <v>105</v>
      </c>
      <c r="C109" s="176"/>
      <c r="D109" s="177" t="s">
        <v>43</v>
      </c>
      <c r="E109" s="178"/>
      <c r="F109" s="17">
        <f t="shared" si="10"/>
        <v>0</v>
      </c>
      <c r="G109" s="17"/>
      <c r="H109" s="17">
        <f>IFERROR(VLOOKUP(B109,Cargas!$B$3:$I$93,8,FALSE),0)</f>
        <v>0</v>
      </c>
      <c r="K109" s="116">
        <f t="shared" si="9"/>
        <v>0</v>
      </c>
      <c r="L109" s="6"/>
      <c r="M109" s="6"/>
      <c r="N109" s="4"/>
      <c r="W109" s="10">
        <f t="shared" si="11"/>
        <v>0</v>
      </c>
      <c r="X109" s="10" t="e">
        <f>+'MAYOR COLONES'!#REF!</f>
        <v>#REF!</v>
      </c>
      <c r="Y109" s="10" t="e">
        <f t="shared" si="12"/>
        <v>#REF!</v>
      </c>
    </row>
    <row r="110" spans="2:25" s="2" customFormat="1" ht="12" customHeight="1">
      <c r="B110" s="116">
        <v>107</v>
      </c>
      <c r="C110" s="184"/>
      <c r="D110" s="177" t="s">
        <v>173</v>
      </c>
      <c r="E110" s="178"/>
      <c r="F110" s="17">
        <f t="shared" si="10"/>
        <v>0</v>
      </c>
      <c r="G110" s="17"/>
      <c r="H110" s="17">
        <f>IFERROR(VLOOKUP(B110,Cargas!$B$3:$I$93,8,FALSE),0)</f>
        <v>0</v>
      </c>
      <c r="I110" s="182"/>
      <c r="J110" s="183"/>
      <c r="K110" s="116">
        <f t="shared" si="9"/>
        <v>0</v>
      </c>
      <c r="L110" s="6"/>
      <c r="M110" s="6"/>
      <c r="N110" s="11"/>
      <c r="W110" s="10">
        <f t="shared" si="11"/>
        <v>0</v>
      </c>
      <c r="X110" s="10">
        <f>+'MAYOR COLONES'!E115</f>
        <v>0</v>
      </c>
      <c r="Y110" s="10">
        <f t="shared" si="12"/>
        <v>0</v>
      </c>
    </row>
    <row r="111" spans="2:25" s="2" customFormat="1" ht="12" customHeight="1">
      <c r="B111" s="116">
        <v>108</v>
      </c>
      <c r="C111" s="184"/>
      <c r="D111" s="177" t="s">
        <v>56</v>
      </c>
      <c r="E111" s="178"/>
      <c r="F111" s="17">
        <f t="shared" si="10"/>
        <v>0</v>
      </c>
      <c r="G111" s="17"/>
      <c r="H111" s="17">
        <f>IFERROR(VLOOKUP(B111,Cargas!$B$3:$I$93,8,FALSE),0)</f>
        <v>0</v>
      </c>
      <c r="I111" s="182"/>
      <c r="J111" s="183"/>
      <c r="K111" s="116">
        <f t="shared" si="9"/>
        <v>0</v>
      </c>
      <c r="L111" s="6"/>
      <c r="M111" s="6"/>
      <c r="N111" s="11"/>
      <c r="W111" s="10">
        <f t="shared" si="11"/>
        <v>0</v>
      </c>
      <c r="X111" s="10">
        <f>+'MAYOR COLONES'!E116</f>
        <v>0</v>
      </c>
      <c r="Y111" s="10">
        <f t="shared" si="12"/>
        <v>0</v>
      </c>
    </row>
    <row r="112" spans="2:25" ht="12" customHeight="1">
      <c r="B112" s="116">
        <v>109</v>
      </c>
      <c r="C112" s="184"/>
      <c r="D112" s="177" t="s">
        <v>57</v>
      </c>
      <c r="E112" s="178"/>
      <c r="F112" s="17">
        <f t="shared" si="10"/>
        <v>0</v>
      </c>
      <c r="G112" s="17"/>
      <c r="H112" s="17">
        <f>IFERROR(VLOOKUP(B112,Cargas!$B$3:$I$93,8,FALSE),0)</f>
        <v>0</v>
      </c>
      <c r="K112" s="116">
        <f t="shared" si="9"/>
        <v>0</v>
      </c>
      <c r="L112" s="6"/>
      <c r="M112" s="6"/>
      <c r="N112" s="4"/>
      <c r="W112" s="10">
        <f t="shared" si="11"/>
        <v>0</v>
      </c>
      <c r="X112" s="10" t="e">
        <f>+'MAYOR COLONES'!#REF!</f>
        <v>#REF!</v>
      </c>
      <c r="Y112" s="10" t="e">
        <f t="shared" si="12"/>
        <v>#REF!</v>
      </c>
    </row>
    <row r="113" spans="2:25" s="2" customFormat="1" ht="12" customHeight="1">
      <c r="B113" s="116">
        <v>110</v>
      </c>
      <c r="C113" s="179"/>
      <c r="D113" s="177" t="s">
        <v>58</v>
      </c>
      <c r="E113" s="178"/>
      <c r="F113" s="17">
        <f t="shared" si="10"/>
        <v>0</v>
      </c>
      <c r="G113" s="17"/>
      <c r="H113" s="17">
        <f>IFERROR(VLOOKUP(B113,Cargas!$B$3:$I$93,8,FALSE),0)</f>
        <v>0</v>
      </c>
      <c r="I113" s="182"/>
      <c r="J113" s="183"/>
      <c r="K113" s="116">
        <f t="shared" si="9"/>
        <v>0</v>
      </c>
      <c r="L113" s="6"/>
      <c r="M113" s="6"/>
      <c r="N113" s="11"/>
      <c r="W113" s="10">
        <f t="shared" si="11"/>
        <v>0</v>
      </c>
      <c r="X113" s="10">
        <f>+'MAYOR COLONES'!E117</f>
        <v>0</v>
      </c>
      <c r="Y113" s="10">
        <f t="shared" si="12"/>
        <v>0</v>
      </c>
    </row>
    <row r="114" spans="2:25" s="2" customFormat="1" ht="12" customHeight="1">
      <c r="B114" s="116">
        <v>111</v>
      </c>
      <c r="C114" s="184"/>
      <c r="D114" s="180" t="s">
        <v>174</v>
      </c>
      <c r="E114" s="181"/>
      <c r="F114" s="17">
        <f t="shared" si="10"/>
        <v>0</v>
      </c>
      <c r="G114" s="17"/>
      <c r="H114" s="17">
        <f>IFERROR(VLOOKUP(B114,Cargas!$B$3:$I$93,8,FALSE),0)</f>
        <v>0</v>
      </c>
      <c r="I114" s="182"/>
      <c r="J114" s="183"/>
      <c r="K114" s="116">
        <f t="shared" si="9"/>
        <v>0</v>
      </c>
      <c r="L114" s="6"/>
      <c r="M114" s="6"/>
      <c r="N114" s="11"/>
      <c r="W114" s="10">
        <f t="shared" si="11"/>
        <v>0</v>
      </c>
      <c r="X114" s="10">
        <f>+'MAYOR COLONES'!E118</f>
        <v>0</v>
      </c>
      <c r="Y114" s="10">
        <f t="shared" si="12"/>
        <v>0</v>
      </c>
    </row>
    <row r="115" spans="2:25" ht="12" customHeight="1">
      <c r="B115" s="116">
        <v>112</v>
      </c>
      <c r="C115" s="184"/>
      <c r="D115" s="177" t="s">
        <v>59</v>
      </c>
      <c r="E115" s="178"/>
      <c r="F115" s="17">
        <f t="shared" si="10"/>
        <v>0</v>
      </c>
      <c r="G115" s="17"/>
      <c r="H115" s="17">
        <f>IFERROR(VLOOKUP(B115,Cargas!$B$3:$I$93,8,FALSE),0)</f>
        <v>0</v>
      </c>
      <c r="K115" s="116">
        <f t="shared" si="9"/>
        <v>0</v>
      </c>
      <c r="L115" s="6"/>
      <c r="M115" s="6"/>
      <c r="N115" s="4"/>
      <c r="W115" s="10">
        <f t="shared" si="11"/>
        <v>0</v>
      </c>
      <c r="X115" s="10">
        <f>+'MAYOR COLONES'!E119</f>
        <v>0</v>
      </c>
      <c r="Y115" s="10">
        <f t="shared" si="12"/>
        <v>0</v>
      </c>
    </row>
    <row r="116" spans="2:25" ht="12" customHeight="1">
      <c r="B116" s="116">
        <v>113</v>
      </c>
      <c r="C116" s="184"/>
      <c r="D116" s="177" t="s">
        <v>60</v>
      </c>
      <c r="E116" s="178"/>
      <c r="F116" s="17">
        <f t="shared" si="10"/>
        <v>0</v>
      </c>
      <c r="G116" s="17"/>
      <c r="H116" s="17">
        <f>IFERROR(VLOOKUP(B116,Cargas!$B$3:$I$93,8,FALSE),0)</f>
        <v>0</v>
      </c>
      <c r="K116" s="116">
        <f t="shared" si="9"/>
        <v>0</v>
      </c>
      <c r="L116" s="6"/>
      <c r="M116" s="6"/>
      <c r="N116" s="4"/>
      <c r="W116" s="10">
        <f t="shared" si="11"/>
        <v>0</v>
      </c>
      <c r="X116" s="10" t="e">
        <f>+'MAYOR COLONES'!#REF!</f>
        <v>#REF!</v>
      </c>
      <c r="Y116" s="10" t="e">
        <f t="shared" si="12"/>
        <v>#REF!</v>
      </c>
    </row>
    <row r="117" spans="2:25" ht="12" customHeight="1">
      <c r="B117" s="116">
        <v>114</v>
      </c>
      <c r="C117" s="184"/>
      <c r="D117" s="177" t="s">
        <v>61</v>
      </c>
      <c r="E117" s="178"/>
      <c r="F117" s="17">
        <f t="shared" si="10"/>
        <v>0</v>
      </c>
      <c r="G117" s="17"/>
      <c r="H117" s="17">
        <f>IFERROR(VLOOKUP(B117,Cargas!$B$3:$I$93,8,FALSE),0)</f>
        <v>0</v>
      </c>
      <c r="K117" s="116">
        <f t="shared" si="9"/>
        <v>0</v>
      </c>
      <c r="L117" s="6"/>
      <c r="M117" s="6"/>
      <c r="N117" s="4"/>
      <c r="W117" s="10">
        <f t="shared" si="11"/>
        <v>0</v>
      </c>
      <c r="X117" s="10" t="e">
        <f>+'MAYOR COLONES'!#REF!</f>
        <v>#REF!</v>
      </c>
      <c r="Y117" s="10" t="e">
        <f t="shared" si="12"/>
        <v>#REF!</v>
      </c>
    </row>
    <row r="118" spans="2:25" ht="12" customHeight="1">
      <c r="B118" s="116">
        <v>115</v>
      </c>
      <c r="C118" s="187"/>
      <c r="D118" s="177" t="s">
        <v>62</v>
      </c>
      <c r="E118" s="178"/>
      <c r="F118" s="18">
        <f>+SUM(H118:H118)</f>
        <v>0</v>
      </c>
      <c r="G118" s="17"/>
      <c r="H118" s="17">
        <f>IFERROR(VLOOKUP(B118,Cargas!$B$3:$I$93,8,FALSE),0)</f>
        <v>0</v>
      </c>
      <c r="K118" s="116">
        <f t="shared" si="9"/>
        <v>0</v>
      </c>
      <c r="L118" s="6"/>
      <c r="M118" s="6"/>
      <c r="N118" s="4"/>
      <c r="W118" s="10">
        <f t="shared" si="11"/>
        <v>0</v>
      </c>
      <c r="X118" s="10">
        <f>+'MAYOR COLONES'!E124</f>
        <v>0</v>
      </c>
      <c r="Y118" s="10">
        <f t="shared" si="12"/>
        <v>0</v>
      </c>
    </row>
    <row r="119" spans="2:25" s="2" customFormat="1" ht="12" customHeight="1">
      <c r="B119" s="116">
        <v>116</v>
      </c>
      <c r="C119" s="187"/>
      <c r="D119" s="177" t="s">
        <v>63</v>
      </c>
      <c r="E119" s="178"/>
      <c r="F119" s="17">
        <f t="shared" si="10"/>
        <v>0</v>
      </c>
      <c r="G119" s="17"/>
      <c r="H119" s="17">
        <f>IFERROR(VLOOKUP(B119,Cargas!$B$3:$I$93,8,FALSE),0)</f>
        <v>0</v>
      </c>
      <c r="I119" s="182"/>
      <c r="J119" s="183"/>
      <c r="K119" s="116">
        <f t="shared" si="9"/>
        <v>0</v>
      </c>
      <c r="L119" s="6"/>
      <c r="M119" s="6"/>
      <c r="N119" s="11"/>
      <c r="W119" s="10">
        <f t="shared" si="11"/>
        <v>0</v>
      </c>
      <c r="X119" s="10">
        <f>+'MAYOR COLONES'!E125</f>
        <v>0</v>
      </c>
      <c r="Y119" s="10">
        <f t="shared" si="12"/>
        <v>0</v>
      </c>
    </row>
    <row r="120" spans="2:25" s="2" customFormat="1" ht="12" customHeight="1">
      <c r="B120" s="116">
        <v>117</v>
      </c>
      <c r="C120" s="187"/>
      <c r="D120" s="180" t="s">
        <v>64</v>
      </c>
      <c r="E120" s="181"/>
      <c r="F120" s="18">
        <f>+SUM(H120:H120)</f>
        <v>0</v>
      </c>
      <c r="G120" s="17"/>
      <c r="H120" s="17">
        <f>IFERROR(VLOOKUP(B120,Cargas!$B$3:$I$93,8,FALSE),0)</f>
        <v>0</v>
      </c>
      <c r="I120" s="182"/>
      <c r="J120" s="183"/>
      <c r="K120" s="116">
        <f t="shared" si="9"/>
        <v>0</v>
      </c>
      <c r="L120" s="6"/>
      <c r="M120" s="6"/>
      <c r="N120" s="11"/>
      <c r="W120" s="10">
        <f t="shared" si="11"/>
        <v>0</v>
      </c>
      <c r="X120" s="10">
        <f>+'MAYOR COLONES'!E126</f>
        <v>0</v>
      </c>
      <c r="Y120" s="10">
        <f t="shared" si="12"/>
        <v>0</v>
      </c>
    </row>
    <row r="121" spans="2:25" ht="12" customHeight="1">
      <c r="B121" s="116">
        <v>118</v>
      </c>
      <c r="C121" s="187"/>
      <c r="D121" s="177" t="s">
        <v>69</v>
      </c>
      <c r="E121" s="178"/>
      <c r="F121" s="17">
        <f t="shared" si="10"/>
        <v>0</v>
      </c>
      <c r="G121" s="17"/>
      <c r="H121" s="17">
        <f>IFERROR(VLOOKUP(B121,Cargas!$B$3:$I$93,8,FALSE),0)</f>
        <v>0</v>
      </c>
      <c r="K121" s="116">
        <f t="shared" si="9"/>
        <v>0</v>
      </c>
      <c r="L121" s="6"/>
      <c r="M121" s="6"/>
      <c r="N121" s="4"/>
      <c r="W121" s="10">
        <f t="shared" si="11"/>
        <v>0</v>
      </c>
      <c r="X121" s="10" t="e">
        <f>+'MAYOR COLONES'!#REF!</f>
        <v>#REF!</v>
      </c>
      <c r="Y121" s="10" t="e">
        <f t="shared" si="12"/>
        <v>#REF!</v>
      </c>
    </row>
    <row r="122" spans="2:25" ht="12" customHeight="1">
      <c r="B122" s="116">
        <v>119</v>
      </c>
      <c r="C122" s="187"/>
      <c r="D122" s="177" t="s">
        <v>70</v>
      </c>
      <c r="E122" s="178"/>
      <c r="F122" s="17">
        <f t="shared" si="10"/>
        <v>0</v>
      </c>
      <c r="G122" s="17"/>
      <c r="H122" s="17">
        <f>IFERROR(VLOOKUP(B122,Cargas!$B$3:$I$93,8,FALSE),0)</f>
        <v>0</v>
      </c>
      <c r="K122" s="116">
        <f t="shared" si="9"/>
        <v>0</v>
      </c>
      <c r="L122" s="6"/>
      <c r="M122" s="6"/>
      <c r="N122" s="4"/>
      <c r="W122" s="10">
        <f>+F122</f>
        <v>0</v>
      </c>
      <c r="X122" s="10">
        <f>+'MAYOR COLONES'!E128</f>
        <v>0</v>
      </c>
      <c r="Y122" s="10">
        <f>+X122+W122</f>
        <v>0</v>
      </c>
    </row>
    <row r="123" spans="2:25" ht="12" customHeight="1">
      <c r="B123" s="116">
        <v>120</v>
      </c>
      <c r="C123" s="187"/>
      <c r="D123" s="177" t="s">
        <v>175</v>
      </c>
      <c r="E123" s="178"/>
      <c r="F123" s="17">
        <f t="shared" si="10"/>
        <v>0</v>
      </c>
      <c r="G123" s="17"/>
      <c r="H123" s="17">
        <f>IFERROR(VLOOKUP(B123,Cargas!$B$3:$I$93,8,FALSE),0)</f>
        <v>0</v>
      </c>
      <c r="K123" s="116">
        <f t="shared" si="9"/>
        <v>0</v>
      </c>
      <c r="L123" s="6"/>
      <c r="M123" s="6"/>
      <c r="N123" s="4"/>
      <c r="W123" s="10">
        <f t="shared" si="11"/>
        <v>0</v>
      </c>
      <c r="X123" s="10">
        <f>+'MAYOR COLONES'!E130</f>
        <v>0</v>
      </c>
      <c r="Y123" s="10">
        <f t="shared" si="12"/>
        <v>0</v>
      </c>
    </row>
    <row r="124" spans="2:25" s="2" customFormat="1" ht="12" customHeight="1">
      <c r="B124" s="116">
        <v>121</v>
      </c>
      <c r="C124" s="187"/>
      <c r="D124" s="177" t="s">
        <v>176</v>
      </c>
      <c r="E124" s="178"/>
      <c r="F124" s="18">
        <f>+SUM(H124:H124)</f>
        <v>0</v>
      </c>
      <c r="G124" s="17"/>
      <c r="H124" s="17">
        <f>IFERROR(VLOOKUP(B124,Cargas!$B$3:$I$93,8,FALSE),0)</f>
        <v>0</v>
      </c>
      <c r="I124" s="182"/>
      <c r="J124" s="183"/>
      <c r="K124" s="116">
        <f t="shared" si="9"/>
        <v>0</v>
      </c>
      <c r="L124" s="6"/>
      <c r="M124" s="6"/>
      <c r="N124" s="11"/>
      <c r="W124" s="10">
        <f>+F124</f>
        <v>0</v>
      </c>
      <c r="X124" s="10">
        <f>+'MAYOR COLONES'!E131</f>
        <v>0</v>
      </c>
      <c r="Y124" s="10">
        <f t="shared" si="12"/>
        <v>0</v>
      </c>
    </row>
    <row r="125" spans="2:25" s="2" customFormat="1" ht="12" customHeight="1">
      <c r="B125" s="116">
        <v>122</v>
      </c>
      <c r="C125" s="187"/>
      <c r="D125" s="177" t="s">
        <v>71</v>
      </c>
      <c r="E125" s="178"/>
      <c r="F125" s="17">
        <f t="shared" si="10"/>
        <v>0</v>
      </c>
      <c r="G125" s="17"/>
      <c r="H125" s="17">
        <f>IFERROR(VLOOKUP(B125,Cargas!$B$3:$I$93,8,FALSE),0)</f>
        <v>0</v>
      </c>
      <c r="I125" s="182"/>
      <c r="J125" s="183"/>
      <c r="K125" s="116">
        <f t="shared" si="9"/>
        <v>0</v>
      </c>
      <c r="L125" s="6"/>
      <c r="M125" s="6"/>
      <c r="N125" s="11"/>
      <c r="W125" s="10">
        <f t="shared" si="11"/>
        <v>0</v>
      </c>
      <c r="X125" s="10" t="e">
        <f>+'MAYOR COLONES'!#REF!</f>
        <v>#REF!</v>
      </c>
      <c r="Y125" s="10" t="e">
        <f t="shared" si="12"/>
        <v>#REF!</v>
      </c>
    </row>
    <row r="126" spans="2:25" ht="12" customHeight="1">
      <c r="B126" s="116">
        <v>124</v>
      </c>
      <c r="C126" s="187"/>
      <c r="D126" s="177" t="s">
        <v>87</v>
      </c>
      <c r="E126" s="178"/>
      <c r="F126" s="17">
        <f t="shared" si="10"/>
        <v>0</v>
      </c>
      <c r="G126" s="17"/>
      <c r="H126" s="17">
        <f>IFERROR(VLOOKUP(B126,Cargas!$B$3:$I$93,8,FALSE),0)</f>
        <v>0</v>
      </c>
      <c r="K126" s="116">
        <f t="shared" si="9"/>
        <v>0</v>
      </c>
      <c r="L126" s="6"/>
      <c r="M126" s="6"/>
      <c r="N126" s="4"/>
      <c r="W126" s="10">
        <f t="shared" si="11"/>
        <v>0</v>
      </c>
      <c r="X126" s="10">
        <f>+'MAYOR COLONES'!E132</f>
        <v>0</v>
      </c>
      <c r="Y126" s="10">
        <f t="shared" si="12"/>
        <v>0</v>
      </c>
    </row>
    <row r="127" spans="2:25" s="2" customFormat="1" ht="12" customHeight="1">
      <c r="B127" s="116">
        <v>125</v>
      </c>
      <c r="C127" s="187"/>
      <c r="D127" s="177" t="s">
        <v>177</v>
      </c>
      <c r="E127" s="185"/>
      <c r="F127" s="18">
        <f>+SUM(H127:H127)</f>
        <v>0</v>
      </c>
      <c r="G127" s="17"/>
      <c r="H127" s="17">
        <f>IFERROR(VLOOKUP(B127,Cargas!$B$3:$I$93,8,FALSE),0)</f>
        <v>0</v>
      </c>
      <c r="I127" s="182"/>
      <c r="J127" s="183"/>
      <c r="K127" s="116">
        <f t="shared" si="9"/>
        <v>0</v>
      </c>
      <c r="L127" s="6"/>
      <c r="M127" s="6"/>
      <c r="N127" s="11"/>
      <c r="W127" s="10">
        <f t="shared" si="11"/>
        <v>0</v>
      </c>
      <c r="X127" s="10">
        <f>+'MAYOR COLONES'!E133</f>
        <v>0</v>
      </c>
      <c r="Y127" s="10">
        <f t="shared" si="12"/>
        <v>0</v>
      </c>
    </row>
    <row r="128" spans="2:25" s="2" customFormat="1" ht="12" customHeight="1">
      <c r="B128" s="116">
        <v>126</v>
      </c>
      <c r="C128" s="187"/>
      <c r="D128" s="177" t="s">
        <v>73</v>
      </c>
      <c r="E128" s="185"/>
      <c r="F128" s="17">
        <f t="shared" si="10"/>
        <v>0</v>
      </c>
      <c r="G128" s="186"/>
      <c r="H128" s="17">
        <f>IFERROR(VLOOKUP(B128,Cargas!$B$3:$I$93,8,FALSE),0)</f>
        <v>0</v>
      </c>
      <c r="I128" s="182"/>
      <c r="J128" s="183"/>
      <c r="K128" s="116">
        <f t="shared" si="9"/>
        <v>0</v>
      </c>
      <c r="L128" s="6"/>
      <c r="M128" s="6"/>
      <c r="N128" s="11"/>
      <c r="W128" s="10">
        <f t="shared" si="11"/>
        <v>0</v>
      </c>
      <c r="X128" s="10">
        <f>+'MAYOR COLONES'!E134</f>
        <v>0</v>
      </c>
      <c r="Y128" s="10">
        <f t="shared" si="12"/>
        <v>0</v>
      </c>
    </row>
    <row r="129" spans="2:25" ht="12" customHeight="1">
      <c r="B129" s="116">
        <v>127</v>
      </c>
      <c r="C129" s="187"/>
      <c r="D129" s="177" t="s">
        <v>178</v>
      </c>
      <c r="E129" s="185"/>
      <c r="F129" s="17">
        <f t="shared" ref="F129:F135" si="13">+SUM(H129:H129)</f>
        <v>0</v>
      </c>
      <c r="G129" s="186"/>
      <c r="H129" s="17">
        <f>IFERROR(VLOOKUP(B129,Cargas!$B$3:$I$93,8,FALSE),0)</f>
        <v>0</v>
      </c>
      <c r="K129" s="116">
        <f t="shared" si="9"/>
        <v>0</v>
      </c>
      <c r="L129" s="6"/>
      <c r="M129" s="6"/>
      <c r="N129" s="4"/>
      <c r="W129" s="10">
        <f t="shared" si="11"/>
        <v>0</v>
      </c>
      <c r="X129" s="10">
        <f>+'MAYOR COLONES'!E135</f>
        <v>0</v>
      </c>
      <c r="Y129" s="10">
        <f t="shared" si="12"/>
        <v>0</v>
      </c>
    </row>
    <row r="130" spans="2:25" ht="12" customHeight="1">
      <c r="B130" s="116">
        <v>128</v>
      </c>
      <c r="C130" s="187"/>
      <c r="D130" s="177" t="s">
        <v>74</v>
      </c>
      <c r="E130" s="185"/>
      <c r="F130" s="17">
        <f t="shared" si="13"/>
        <v>0</v>
      </c>
      <c r="G130" s="186"/>
      <c r="H130" s="17">
        <f>IFERROR(VLOOKUP(B130,Cargas!$B$3:$I$93,8,FALSE),0)</f>
        <v>0</v>
      </c>
      <c r="K130" s="116">
        <f t="shared" si="9"/>
        <v>0</v>
      </c>
      <c r="L130" s="6"/>
      <c r="M130" s="6"/>
      <c r="N130" s="4"/>
      <c r="W130" s="10">
        <f t="shared" si="11"/>
        <v>0</v>
      </c>
      <c r="X130" s="10" t="e">
        <f>+'MAYOR COLONES'!#REF!</f>
        <v>#REF!</v>
      </c>
      <c r="Y130" s="10" t="e">
        <f t="shared" si="12"/>
        <v>#REF!</v>
      </c>
    </row>
    <row r="131" spans="2:25" s="2" customFormat="1" ht="12" customHeight="1">
      <c r="B131" s="116">
        <v>129</v>
      </c>
      <c r="C131" s="187"/>
      <c r="D131" s="177" t="s">
        <v>179</v>
      </c>
      <c r="E131" s="185"/>
      <c r="F131" s="17">
        <f t="shared" si="13"/>
        <v>0</v>
      </c>
      <c r="G131" s="186"/>
      <c r="H131" s="17">
        <f>IFERROR(VLOOKUP(B131,Cargas!$B$3:$I$93,8,FALSE),0)</f>
        <v>0</v>
      </c>
      <c r="I131" s="182"/>
      <c r="J131" s="183"/>
      <c r="K131" s="116">
        <f t="shared" si="9"/>
        <v>0</v>
      </c>
      <c r="L131" s="6"/>
      <c r="M131" s="6"/>
      <c r="N131" s="11"/>
      <c r="W131" s="10">
        <f t="shared" si="11"/>
        <v>0</v>
      </c>
      <c r="X131" s="10">
        <f>+'MAYOR COLONES'!E137</f>
        <v>0</v>
      </c>
      <c r="Y131" s="10">
        <f t="shared" si="12"/>
        <v>0</v>
      </c>
    </row>
    <row r="132" spans="2:25" s="2" customFormat="1">
      <c r="B132" s="116">
        <v>130</v>
      </c>
      <c r="C132" s="187"/>
      <c r="D132" s="177" t="s">
        <v>112</v>
      </c>
      <c r="E132" s="185"/>
      <c r="F132" s="17">
        <f t="shared" si="13"/>
        <v>0</v>
      </c>
      <c r="G132" s="186"/>
      <c r="H132" s="17">
        <f>IFERROR(VLOOKUP(B132,Cargas!$B$3:$I$93,8,FALSE),0)</f>
        <v>0</v>
      </c>
      <c r="I132" s="182"/>
      <c r="J132" s="183"/>
      <c r="K132" s="116">
        <f t="shared" si="9"/>
        <v>0</v>
      </c>
      <c r="L132" s="6"/>
      <c r="M132" s="6"/>
      <c r="N132" s="11"/>
      <c r="W132" s="10">
        <f t="shared" si="11"/>
        <v>0</v>
      </c>
      <c r="X132" s="10">
        <f>+'MAYOR COLONES'!E138</f>
        <v>0</v>
      </c>
      <c r="Y132" s="10">
        <f t="shared" si="12"/>
        <v>0</v>
      </c>
    </row>
    <row r="133" spans="2:25">
      <c r="B133" s="116">
        <v>131</v>
      </c>
      <c r="C133" s="187"/>
      <c r="D133" s="180" t="s">
        <v>111</v>
      </c>
      <c r="E133" s="188"/>
      <c r="F133" s="17">
        <f t="shared" si="13"/>
        <v>0</v>
      </c>
      <c r="G133" s="186"/>
      <c r="H133" s="17">
        <f>IFERROR(VLOOKUP(B133,Cargas!$B$3:$I$93,8,FALSE),0)</f>
        <v>0</v>
      </c>
      <c r="K133" s="116">
        <f t="shared" si="9"/>
        <v>0</v>
      </c>
      <c r="L133" s="6"/>
      <c r="M133" s="6"/>
      <c r="N133" s="4"/>
      <c r="W133" s="10">
        <f t="shared" si="11"/>
        <v>0</v>
      </c>
      <c r="X133" s="10">
        <f>+'MAYOR COLONES'!E139</f>
        <v>0</v>
      </c>
      <c r="Y133" s="10">
        <f t="shared" si="12"/>
        <v>0</v>
      </c>
    </row>
    <row r="134" spans="2:25" s="2" customFormat="1">
      <c r="B134" s="116">
        <v>132</v>
      </c>
      <c r="C134" s="187"/>
      <c r="D134" s="180" t="s">
        <v>78</v>
      </c>
      <c r="E134" s="188"/>
      <c r="F134" s="18">
        <f t="shared" si="13"/>
        <v>0</v>
      </c>
      <c r="G134" s="17"/>
      <c r="H134" s="17">
        <f>IFERROR(VLOOKUP(B134,Cargas!$B$3:$I$93,8,FALSE),0)</f>
        <v>0</v>
      </c>
      <c r="I134" s="182"/>
      <c r="J134" s="183"/>
      <c r="K134" s="116">
        <f t="shared" si="9"/>
        <v>0</v>
      </c>
      <c r="L134" s="6"/>
      <c r="M134" s="6"/>
      <c r="N134" s="11"/>
      <c r="W134" s="10">
        <f t="shared" si="11"/>
        <v>0</v>
      </c>
      <c r="X134" s="10">
        <f>+'MAYOR COLONES'!E140</f>
        <v>0</v>
      </c>
      <c r="Y134" s="10">
        <f t="shared" si="12"/>
        <v>0</v>
      </c>
    </row>
    <row r="135" spans="2:25" s="2" customFormat="1">
      <c r="B135" s="116">
        <v>133</v>
      </c>
      <c r="C135" s="187"/>
      <c r="D135" s="177" t="s">
        <v>79</v>
      </c>
      <c r="E135" s="185"/>
      <c r="F135" s="18">
        <f t="shared" si="13"/>
        <v>0</v>
      </c>
      <c r="G135" s="17"/>
      <c r="H135" s="17">
        <f>IFERROR(VLOOKUP(B135,Cargas!$B$3:$I$93,8,FALSE),0)</f>
        <v>0</v>
      </c>
      <c r="I135" s="182"/>
      <c r="J135" s="183"/>
      <c r="K135" s="116">
        <f t="shared" si="9"/>
        <v>0</v>
      </c>
      <c r="L135" s="6"/>
      <c r="M135" s="6"/>
      <c r="N135" s="11"/>
      <c r="W135" s="10">
        <f t="shared" si="11"/>
        <v>0</v>
      </c>
      <c r="X135" s="10">
        <f>+'MAYOR COLONES'!E141</f>
        <v>0</v>
      </c>
      <c r="Y135" s="10">
        <f t="shared" si="12"/>
        <v>0</v>
      </c>
    </row>
    <row r="136" spans="2:25" ht="12" customHeight="1">
      <c r="B136" s="116">
        <v>136</v>
      </c>
      <c r="C136" s="187"/>
      <c r="D136" s="177" t="s">
        <v>80</v>
      </c>
      <c r="E136" s="185"/>
      <c r="F136" s="17">
        <f t="shared" si="10"/>
        <v>0</v>
      </c>
      <c r="G136" s="186"/>
      <c r="H136" s="17">
        <f>IFERROR(VLOOKUP(B136,Cargas!$B$3:$I$93,8,FALSE),0)</f>
        <v>0</v>
      </c>
      <c r="K136" s="116">
        <f t="shared" si="9"/>
        <v>0</v>
      </c>
      <c r="L136" s="6"/>
      <c r="M136" s="6"/>
      <c r="N136" s="4"/>
      <c r="W136" s="10">
        <f t="shared" si="11"/>
        <v>0</v>
      </c>
      <c r="X136" s="10">
        <f>+'MAYOR COLONES'!E142</f>
        <v>0</v>
      </c>
      <c r="Y136" s="10">
        <f t="shared" si="12"/>
        <v>0</v>
      </c>
    </row>
    <row r="137" spans="2:25">
      <c r="B137" s="116">
        <v>137</v>
      </c>
      <c r="C137" s="187"/>
      <c r="D137" s="177" t="s">
        <v>81</v>
      </c>
      <c r="E137" s="185"/>
      <c r="F137" s="18">
        <f>+SUM(H137:H137)</f>
        <v>0</v>
      </c>
      <c r="G137" s="17"/>
      <c r="H137" s="17">
        <f>IFERROR(VLOOKUP(B137,Cargas!$B$3:$I$93,8,FALSE),0)</f>
        <v>0</v>
      </c>
      <c r="K137" s="116">
        <f t="shared" si="9"/>
        <v>0</v>
      </c>
      <c r="L137" s="6"/>
      <c r="M137" s="6"/>
      <c r="N137" s="4"/>
      <c r="W137" s="10">
        <f t="shared" si="11"/>
        <v>0</v>
      </c>
      <c r="X137" s="10">
        <f>+'MAYOR COLONES'!E145</f>
        <v>0</v>
      </c>
      <c r="Y137" s="10">
        <f t="shared" si="12"/>
        <v>0</v>
      </c>
    </row>
    <row r="138" spans="2:25" s="2" customFormat="1" ht="12" customHeight="1">
      <c r="B138" s="116">
        <v>138</v>
      </c>
      <c r="C138" s="187"/>
      <c r="D138" s="177" t="s">
        <v>82</v>
      </c>
      <c r="E138" s="185"/>
      <c r="F138" s="17">
        <f t="shared" si="10"/>
        <v>0</v>
      </c>
      <c r="G138" s="186"/>
      <c r="H138" s="17">
        <f>IFERROR(VLOOKUP(B138,Cargas!$B$3:$I$93,8,FALSE),0)</f>
        <v>0</v>
      </c>
      <c r="I138" s="182"/>
      <c r="J138" s="183"/>
      <c r="K138" s="116">
        <f t="shared" si="9"/>
        <v>0</v>
      </c>
      <c r="L138" s="6"/>
      <c r="M138" s="6"/>
      <c r="N138" s="11"/>
      <c r="W138" s="10">
        <f t="shared" si="11"/>
        <v>0</v>
      </c>
      <c r="X138" s="10">
        <f>+'MAYOR COLONES'!E146</f>
        <v>0</v>
      </c>
      <c r="Y138" s="10">
        <f t="shared" si="12"/>
        <v>0</v>
      </c>
    </row>
    <row r="139" spans="2:25" s="2" customFormat="1" ht="12" customHeight="1">
      <c r="B139" s="116">
        <v>139</v>
      </c>
      <c r="C139" s="187"/>
      <c r="D139" s="177" t="s">
        <v>83</v>
      </c>
      <c r="E139" s="185"/>
      <c r="F139" s="17">
        <f t="shared" si="10"/>
        <v>0</v>
      </c>
      <c r="G139" s="186"/>
      <c r="H139" s="17">
        <f>IFERROR(VLOOKUP(B139,Cargas!$B$3:$I$93,8,FALSE),0)</f>
        <v>0</v>
      </c>
      <c r="I139" s="182"/>
      <c r="J139" s="183"/>
      <c r="K139" s="116">
        <f t="shared" si="9"/>
        <v>0</v>
      </c>
      <c r="L139" s="6"/>
      <c r="M139" s="6"/>
      <c r="N139" s="11"/>
      <c r="W139" s="10">
        <f t="shared" si="11"/>
        <v>0</v>
      </c>
      <c r="X139" s="10">
        <f>+'MAYOR COLONES'!E147</f>
        <v>0</v>
      </c>
      <c r="Y139" s="10">
        <f t="shared" si="12"/>
        <v>0</v>
      </c>
    </row>
    <row r="140" spans="2:25" ht="12" customHeight="1">
      <c r="B140" s="116">
        <v>140</v>
      </c>
      <c r="C140" s="187"/>
      <c r="D140" s="177" t="s">
        <v>180</v>
      </c>
      <c r="E140" s="185"/>
      <c r="F140" s="17">
        <f t="shared" si="10"/>
        <v>0</v>
      </c>
      <c r="G140" s="186"/>
      <c r="H140" s="17">
        <f>IFERROR(VLOOKUP(B140,Cargas!$B$3:$I$93,8,FALSE),0)</f>
        <v>0</v>
      </c>
      <c r="K140" s="116">
        <f t="shared" si="9"/>
        <v>0</v>
      </c>
      <c r="L140" s="6"/>
      <c r="M140" s="6"/>
      <c r="N140" s="4"/>
      <c r="W140" s="10">
        <f t="shared" si="11"/>
        <v>0</v>
      </c>
      <c r="X140" s="10">
        <f>+'MAYOR COLONES'!E148</f>
        <v>0</v>
      </c>
      <c r="Y140" s="10">
        <f t="shared" si="12"/>
        <v>0</v>
      </c>
    </row>
    <row r="141" spans="2:25" s="2" customFormat="1" ht="12" customHeight="1">
      <c r="B141" s="116">
        <v>141</v>
      </c>
      <c r="C141" s="187"/>
      <c r="D141" s="177" t="s">
        <v>181</v>
      </c>
      <c r="E141" s="185"/>
      <c r="F141" s="17">
        <f t="shared" si="10"/>
        <v>0</v>
      </c>
      <c r="G141" s="186"/>
      <c r="H141" s="17">
        <f>IFERROR(VLOOKUP(B141,Cargas!$B$3:$I$93,8,FALSE),0)</f>
        <v>0</v>
      </c>
      <c r="I141" s="182"/>
      <c r="J141" s="183"/>
      <c r="K141" s="116">
        <f t="shared" si="9"/>
        <v>0</v>
      </c>
      <c r="L141" s="6"/>
      <c r="M141" s="6"/>
      <c r="N141" s="11"/>
      <c r="W141" s="10">
        <f t="shared" ref="W141:W191" si="14">+F141</f>
        <v>0</v>
      </c>
      <c r="X141" s="10">
        <f>+'MAYOR COLONES'!E149</f>
        <v>0</v>
      </c>
      <c r="Y141" s="10">
        <f t="shared" ref="Y141:Y191" si="15">+X141+W141</f>
        <v>0</v>
      </c>
    </row>
    <row r="142" spans="2:25" s="2" customFormat="1" ht="12" customHeight="1">
      <c r="B142" s="116">
        <v>142</v>
      </c>
      <c r="C142" s="187"/>
      <c r="D142" s="177" t="s">
        <v>182</v>
      </c>
      <c r="E142" s="185"/>
      <c r="F142" s="17">
        <f t="shared" si="10"/>
        <v>0</v>
      </c>
      <c r="G142" s="186"/>
      <c r="H142" s="17">
        <f>IFERROR(VLOOKUP(B142,Cargas!$B$3:$I$93,8,FALSE),0)</f>
        <v>0</v>
      </c>
      <c r="I142" s="182"/>
      <c r="J142" s="183"/>
      <c r="K142" s="116">
        <f t="shared" si="9"/>
        <v>0</v>
      </c>
      <c r="L142" s="6"/>
      <c r="M142" s="6"/>
      <c r="N142" s="11"/>
      <c r="W142" s="10">
        <f t="shared" si="14"/>
        <v>0</v>
      </c>
      <c r="X142" s="10">
        <f>+'MAYOR COLONES'!E150</f>
        <v>0</v>
      </c>
      <c r="Y142" s="10">
        <f t="shared" si="15"/>
        <v>0</v>
      </c>
    </row>
    <row r="143" spans="2:25" ht="12" customHeight="1">
      <c r="B143" s="116">
        <v>143</v>
      </c>
      <c r="C143" s="187"/>
      <c r="D143" s="177" t="s">
        <v>84</v>
      </c>
      <c r="E143" s="185"/>
      <c r="F143" s="17">
        <f t="shared" si="10"/>
        <v>0</v>
      </c>
      <c r="G143" s="186"/>
      <c r="H143" s="17">
        <f>IFERROR(VLOOKUP(B143,Cargas!$B$3:$I$93,8,FALSE),0)</f>
        <v>0</v>
      </c>
      <c r="K143" s="116">
        <f t="shared" ref="K143:K206" si="16">+F143/$K$9</f>
        <v>0</v>
      </c>
      <c r="L143" s="6"/>
      <c r="M143" s="6"/>
      <c r="N143" s="4"/>
      <c r="W143" s="10">
        <f t="shared" si="14"/>
        <v>0</v>
      </c>
      <c r="X143" s="10">
        <f>+'MAYOR COLONES'!E151</f>
        <v>0</v>
      </c>
      <c r="Y143" s="10">
        <f t="shared" si="15"/>
        <v>0</v>
      </c>
    </row>
    <row r="144" spans="2:25" s="2" customFormat="1" ht="12" customHeight="1">
      <c r="B144" s="116">
        <v>145</v>
      </c>
      <c r="C144" s="187"/>
      <c r="D144" s="177" t="s">
        <v>183</v>
      </c>
      <c r="E144" s="185"/>
      <c r="F144" s="17">
        <f t="shared" ref="F144:F207" si="17">+SUM(H144:H144)</f>
        <v>0</v>
      </c>
      <c r="G144" s="186"/>
      <c r="H144" s="17">
        <f>IFERROR(VLOOKUP(B144,Cargas!$B$3:$I$93,8,FALSE),0)</f>
        <v>0</v>
      </c>
      <c r="I144" s="182"/>
      <c r="J144" s="183"/>
      <c r="K144" s="116">
        <f t="shared" si="16"/>
        <v>0</v>
      </c>
      <c r="L144" s="6"/>
      <c r="M144" s="6"/>
      <c r="N144" s="11"/>
      <c r="W144" s="10">
        <f t="shared" si="14"/>
        <v>0</v>
      </c>
      <c r="X144" s="10">
        <f>+'MAYOR COLONES'!E152</f>
        <v>0</v>
      </c>
      <c r="Y144" s="10">
        <f t="shared" si="15"/>
        <v>0</v>
      </c>
    </row>
    <row r="145" spans="2:25" s="2" customFormat="1" ht="12" customHeight="1">
      <c r="B145" s="116">
        <v>146</v>
      </c>
      <c r="C145" s="187"/>
      <c r="D145" s="177" t="s">
        <v>86</v>
      </c>
      <c r="E145" s="185"/>
      <c r="F145" s="17">
        <f t="shared" si="17"/>
        <v>0</v>
      </c>
      <c r="G145" s="186"/>
      <c r="H145" s="17">
        <f>IFERROR(VLOOKUP(B145,Cargas!$B$3:$I$93,8,FALSE),0)</f>
        <v>0</v>
      </c>
      <c r="I145" s="182"/>
      <c r="J145" s="183"/>
      <c r="K145" s="116">
        <f t="shared" si="16"/>
        <v>0</v>
      </c>
      <c r="L145" s="6"/>
      <c r="M145" s="6"/>
      <c r="N145" s="11"/>
      <c r="W145" s="10">
        <f t="shared" si="14"/>
        <v>0</v>
      </c>
      <c r="X145" s="10">
        <f>+'MAYOR COLONES'!E153</f>
        <v>0</v>
      </c>
      <c r="Y145" s="10">
        <f t="shared" si="15"/>
        <v>0</v>
      </c>
    </row>
    <row r="146" spans="2:25" ht="12" customHeight="1">
      <c r="B146" s="116">
        <v>149</v>
      </c>
      <c r="C146" s="187"/>
      <c r="D146" s="177" t="s">
        <v>89</v>
      </c>
      <c r="E146" s="185"/>
      <c r="F146" s="17">
        <f t="shared" si="17"/>
        <v>0</v>
      </c>
      <c r="G146" s="186"/>
      <c r="H146" s="17">
        <f>IFERROR(VLOOKUP(B146,Cargas!$B$3:$I$93,8,FALSE),0)</f>
        <v>0</v>
      </c>
      <c r="K146" s="116">
        <f t="shared" si="16"/>
        <v>0</v>
      </c>
      <c r="L146" s="6"/>
      <c r="M146" s="6"/>
      <c r="N146" s="4"/>
      <c r="W146" s="10">
        <f t="shared" si="14"/>
        <v>0</v>
      </c>
      <c r="X146" s="10">
        <f>+'MAYOR COLONES'!E154</f>
        <v>0</v>
      </c>
      <c r="Y146" s="10">
        <f t="shared" si="15"/>
        <v>0</v>
      </c>
    </row>
    <row r="147" spans="2:25" s="2" customFormat="1" ht="12" customHeight="1">
      <c r="B147" s="116">
        <v>150</v>
      </c>
      <c r="C147" s="187"/>
      <c r="D147" s="177" t="s">
        <v>94</v>
      </c>
      <c r="E147" s="185"/>
      <c r="F147" s="17">
        <f t="shared" si="17"/>
        <v>0</v>
      </c>
      <c r="G147" s="186"/>
      <c r="H147" s="17">
        <f>IFERROR(VLOOKUP(B147,Cargas!$B$3:$I$93,8,FALSE),0)</f>
        <v>0</v>
      </c>
      <c r="I147" s="182"/>
      <c r="J147" s="183"/>
      <c r="K147" s="116">
        <f t="shared" si="16"/>
        <v>0</v>
      </c>
      <c r="L147" s="6"/>
      <c r="M147" s="6"/>
      <c r="N147" s="11"/>
      <c r="W147" s="10">
        <f t="shared" si="14"/>
        <v>0</v>
      </c>
      <c r="X147" s="10">
        <f>+'MAYOR COLONES'!E155</f>
        <v>0</v>
      </c>
      <c r="Y147" s="10">
        <f t="shared" si="15"/>
        <v>0</v>
      </c>
    </row>
    <row r="148" spans="2:25" s="2" customFormat="1" ht="12" customHeight="1">
      <c r="B148" s="116">
        <v>151</v>
      </c>
      <c r="C148" s="187"/>
      <c r="D148" s="177" t="s">
        <v>90</v>
      </c>
      <c r="E148" s="185"/>
      <c r="F148" s="17">
        <f t="shared" si="17"/>
        <v>0</v>
      </c>
      <c r="G148" s="186"/>
      <c r="H148" s="17">
        <f>IFERROR(VLOOKUP(B148,Cargas!$B$3:$I$93,8,FALSE),0)</f>
        <v>0</v>
      </c>
      <c r="I148" s="182"/>
      <c r="J148" s="183"/>
      <c r="K148" s="116">
        <f t="shared" si="16"/>
        <v>0</v>
      </c>
      <c r="L148" s="6"/>
      <c r="M148" s="6"/>
      <c r="N148" s="11"/>
      <c r="W148" s="10">
        <f t="shared" si="14"/>
        <v>0</v>
      </c>
      <c r="X148" s="10">
        <f>+'MAYOR COLONES'!E156</f>
        <v>0</v>
      </c>
      <c r="Y148" s="10">
        <f t="shared" si="15"/>
        <v>0</v>
      </c>
    </row>
    <row r="149" spans="2:25" ht="12" customHeight="1">
      <c r="B149" s="116">
        <v>152</v>
      </c>
      <c r="C149" s="187"/>
      <c r="D149" s="180" t="s">
        <v>91</v>
      </c>
      <c r="E149" s="188"/>
      <c r="F149" s="18">
        <f>+SUM(H149:H149)</f>
        <v>0</v>
      </c>
      <c r="G149" s="17"/>
      <c r="H149" s="17">
        <f>IFERROR(VLOOKUP(B149,Cargas!$B$3:$I$93,8,FALSE),0)</f>
        <v>0</v>
      </c>
      <c r="K149" s="116">
        <f t="shared" si="16"/>
        <v>0</v>
      </c>
      <c r="L149" s="6"/>
      <c r="M149" s="6"/>
      <c r="N149" s="4"/>
      <c r="W149" s="10">
        <f t="shared" si="14"/>
        <v>0</v>
      </c>
      <c r="X149" s="10">
        <f>+'MAYOR COLONES'!E157</f>
        <v>0</v>
      </c>
      <c r="Y149" s="10">
        <f t="shared" si="15"/>
        <v>0</v>
      </c>
    </row>
    <row r="150" spans="2:25" ht="12" customHeight="1">
      <c r="B150" s="116">
        <v>153</v>
      </c>
      <c r="C150" s="187"/>
      <c r="D150" s="180" t="s">
        <v>92</v>
      </c>
      <c r="E150" s="188"/>
      <c r="F150" s="18">
        <f>+SUM(H150:H150)</f>
        <v>0</v>
      </c>
      <c r="G150" s="17"/>
      <c r="H150" s="17">
        <f>IFERROR(VLOOKUP(B150,Cargas!$B$3:$I$93,8,FALSE),0)</f>
        <v>0</v>
      </c>
      <c r="K150" s="116">
        <f t="shared" si="16"/>
        <v>0</v>
      </c>
      <c r="L150" s="6"/>
      <c r="M150" s="6"/>
      <c r="N150" s="4"/>
      <c r="W150" s="10">
        <f t="shared" si="14"/>
        <v>0</v>
      </c>
      <c r="X150" s="10">
        <f>+'MAYOR COLONES'!E160</f>
        <v>0</v>
      </c>
      <c r="Y150" s="10">
        <f t="shared" si="15"/>
        <v>0</v>
      </c>
    </row>
    <row r="151" spans="2:25" s="2" customFormat="1" ht="12" customHeight="1">
      <c r="B151" s="116">
        <v>154</v>
      </c>
      <c r="C151" s="187"/>
      <c r="D151" s="177" t="s">
        <v>233</v>
      </c>
      <c r="E151" s="185"/>
      <c r="F151" s="17">
        <f t="shared" si="17"/>
        <v>0</v>
      </c>
      <c r="G151" s="186"/>
      <c r="H151" s="17">
        <f>IFERROR(VLOOKUP(B151,Cargas!$B$3:$I$93,8,FALSE),0)</f>
        <v>0</v>
      </c>
      <c r="I151" s="182"/>
      <c r="J151" s="183"/>
      <c r="K151" s="116">
        <f t="shared" si="16"/>
        <v>0</v>
      </c>
      <c r="L151" s="6"/>
      <c r="M151" s="6"/>
      <c r="N151" s="11"/>
      <c r="W151" s="10">
        <f t="shared" si="14"/>
        <v>0</v>
      </c>
      <c r="X151" s="10">
        <f>+'MAYOR COLONES'!E161</f>
        <v>0</v>
      </c>
      <c r="Y151" s="10">
        <f t="shared" si="15"/>
        <v>0</v>
      </c>
    </row>
    <row r="152" spans="2:25" s="2" customFormat="1" ht="12" customHeight="1">
      <c r="B152" s="116">
        <v>155</v>
      </c>
      <c r="C152" s="187"/>
      <c r="D152" s="177" t="s">
        <v>234</v>
      </c>
      <c r="E152" s="185"/>
      <c r="F152" s="17">
        <f t="shared" si="17"/>
        <v>0</v>
      </c>
      <c r="G152" s="186"/>
      <c r="H152" s="17">
        <f>IFERROR(VLOOKUP(B152,Cargas!$B$3:$I$93,8,FALSE),0)</f>
        <v>0</v>
      </c>
      <c r="I152" s="182"/>
      <c r="J152" s="183"/>
      <c r="K152" s="116">
        <f t="shared" si="16"/>
        <v>0</v>
      </c>
      <c r="L152" s="6"/>
      <c r="M152" s="6"/>
      <c r="N152" s="11"/>
      <c r="W152" s="10">
        <f t="shared" si="14"/>
        <v>0</v>
      </c>
      <c r="X152" s="10">
        <f>+'MAYOR COLONES'!E162</f>
        <v>0</v>
      </c>
      <c r="Y152" s="10">
        <f t="shared" si="15"/>
        <v>0</v>
      </c>
    </row>
    <row r="153" spans="2:25" ht="12" customHeight="1">
      <c r="B153" s="116">
        <v>156</v>
      </c>
      <c r="C153" s="187"/>
      <c r="D153" s="180" t="s">
        <v>95</v>
      </c>
      <c r="E153" s="188"/>
      <c r="F153" s="17">
        <f t="shared" si="17"/>
        <v>0</v>
      </c>
      <c r="G153" s="186"/>
      <c r="H153" s="17">
        <f>IFERROR(VLOOKUP(B153,Cargas!$B$3:$I$93,8,FALSE),0)</f>
        <v>0</v>
      </c>
      <c r="K153" s="116">
        <f t="shared" si="16"/>
        <v>0</v>
      </c>
      <c r="L153" s="6"/>
      <c r="M153" s="6"/>
      <c r="N153" s="4"/>
      <c r="W153" s="10">
        <f t="shared" ref="W153:W158" si="18">+F153</f>
        <v>0</v>
      </c>
      <c r="X153" s="10">
        <f>+'MAYOR COLONES'!E163</f>
        <v>0</v>
      </c>
      <c r="Y153" s="10">
        <f t="shared" ref="Y153:Y158" si="19">+X153+W153</f>
        <v>0</v>
      </c>
    </row>
    <row r="154" spans="2:25" s="2" customFormat="1" ht="12" customHeight="1">
      <c r="B154" s="116">
        <v>157</v>
      </c>
      <c r="C154" s="187"/>
      <c r="D154" s="177" t="s">
        <v>100</v>
      </c>
      <c r="E154" s="185"/>
      <c r="F154" s="17">
        <f t="shared" si="17"/>
        <v>0</v>
      </c>
      <c r="G154" s="186"/>
      <c r="H154" s="17">
        <f>IFERROR(VLOOKUP(B154,Cargas!$B$3:$I$93,8,FALSE),0)</f>
        <v>0</v>
      </c>
      <c r="I154" s="182"/>
      <c r="J154" s="183"/>
      <c r="K154" s="116">
        <f t="shared" si="16"/>
        <v>0</v>
      </c>
      <c r="L154" s="6"/>
      <c r="M154" s="6"/>
      <c r="N154" s="11"/>
      <c r="W154" s="10">
        <f t="shared" si="18"/>
        <v>0</v>
      </c>
      <c r="X154" s="10">
        <f>+'MAYOR COLONES'!E164</f>
        <v>0</v>
      </c>
      <c r="Y154" s="10">
        <f t="shared" si="19"/>
        <v>0</v>
      </c>
    </row>
    <row r="155" spans="2:25" s="2" customFormat="1" ht="12" customHeight="1">
      <c r="B155" s="116">
        <v>160</v>
      </c>
      <c r="C155" s="187"/>
      <c r="D155" s="177" t="s">
        <v>184</v>
      </c>
      <c r="E155" s="185"/>
      <c r="F155" s="17">
        <f t="shared" si="17"/>
        <v>0</v>
      </c>
      <c r="G155" s="186"/>
      <c r="H155" s="17">
        <f>IFERROR(VLOOKUP(B155,Cargas!$B$3:$I$93,8,FALSE),0)</f>
        <v>0</v>
      </c>
      <c r="I155" s="182"/>
      <c r="J155" s="183"/>
      <c r="K155" s="116">
        <f t="shared" si="16"/>
        <v>0</v>
      </c>
      <c r="L155" s="6"/>
      <c r="M155" s="6"/>
      <c r="N155" s="11"/>
      <c r="W155" s="10">
        <f t="shared" si="18"/>
        <v>0</v>
      </c>
      <c r="X155" s="10">
        <f>+'MAYOR COLONES'!E165</f>
        <v>0</v>
      </c>
      <c r="Y155" s="10">
        <f t="shared" si="19"/>
        <v>0</v>
      </c>
    </row>
    <row r="156" spans="2:25" ht="12" customHeight="1">
      <c r="B156" s="116">
        <v>161</v>
      </c>
      <c r="C156" s="187"/>
      <c r="D156" s="177" t="s">
        <v>106</v>
      </c>
      <c r="E156" s="185"/>
      <c r="F156" s="18">
        <f>+SUM(H156:H156)</f>
        <v>0</v>
      </c>
      <c r="G156" s="17"/>
      <c r="H156" s="17">
        <f>IFERROR(VLOOKUP(B156,Cargas!$B$3:$I$93,8,FALSE),0)</f>
        <v>0</v>
      </c>
      <c r="K156" s="116">
        <f t="shared" si="16"/>
        <v>0</v>
      </c>
      <c r="L156" s="6"/>
      <c r="M156" s="6"/>
      <c r="N156" s="4"/>
      <c r="W156" s="10">
        <f t="shared" si="18"/>
        <v>0</v>
      </c>
      <c r="X156" s="10">
        <f>+'MAYOR COLONES'!E166</f>
        <v>0</v>
      </c>
      <c r="Y156" s="10">
        <f t="shared" si="19"/>
        <v>0</v>
      </c>
    </row>
    <row r="157" spans="2:25" s="2" customFormat="1">
      <c r="B157" s="116">
        <v>162</v>
      </c>
      <c r="C157" s="187"/>
      <c r="D157" s="180" t="s">
        <v>96</v>
      </c>
      <c r="E157" s="188"/>
      <c r="F157" s="17">
        <f t="shared" si="17"/>
        <v>0</v>
      </c>
      <c r="G157" s="186"/>
      <c r="H157" s="17">
        <f>IFERROR(VLOOKUP(B157,Cargas!$B$3:$I$93,8,FALSE),0)</f>
        <v>0</v>
      </c>
      <c r="I157" s="182"/>
      <c r="J157" s="183"/>
      <c r="K157" s="116">
        <f t="shared" si="16"/>
        <v>0</v>
      </c>
      <c r="L157" s="6"/>
      <c r="M157" s="6"/>
      <c r="N157" s="11"/>
      <c r="W157" s="10">
        <f t="shared" si="18"/>
        <v>0</v>
      </c>
      <c r="X157" s="10">
        <f>+'MAYOR COLONES'!E167</f>
        <v>0</v>
      </c>
      <c r="Y157" s="10">
        <f t="shared" si="19"/>
        <v>0</v>
      </c>
    </row>
    <row r="158" spans="2:25" s="2" customFormat="1" ht="12" customHeight="1">
      <c r="B158" s="116">
        <v>163</v>
      </c>
      <c r="C158" s="184"/>
      <c r="D158" s="177" t="s">
        <v>97</v>
      </c>
      <c r="E158" s="185"/>
      <c r="F158" s="17">
        <f t="shared" si="17"/>
        <v>0</v>
      </c>
      <c r="G158" s="186"/>
      <c r="H158" s="17">
        <f>IFERROR(VLOOKUP(B158,Cargas!$B$3:$I$93,8,FALSE),0)</f>
        <v>0</v>
      </c>
      <c r="I158" s="182"/>
      <c r="J158" s="183"/>
      <c r="K158" s="116">
        <f t="shared" si="16"/>
        <v>0</v>
      </c>
      <c r="L158" s="6"/>
      <c r="M158" s="6"/>
      <c r="N158" s="11"/>
      <c r="W158" s="10">
        <f t="shared" si="18"/>
        <v>0</v>
      </c>
      <c r="X158" s="10">
        <f>+'MAYOR COLONES'!E168</f>
        <v>0</v>
      </c>
      <c r="Y158" s="10">
        <f t="shared" si="19"/>
        <v>0</v>
      </c>
    </row>
    <row r="159" spans="2:25" ht="12" customHeight="1">
      <c r="B159" s="116">
        <v>164</v>
      </c>
      <c r="C159" s="184"/>
      <c r="D159" s="177" t="s">
        <v>98</v>
      </c>
      <c r="E159" s="185"/>
      <c r="F159" s="17">
        <f t="shared" si="17"/>
        <v>0</v>
      </c>
      <c r="G159" s="186"/>
      <c r="H159" s="17">
        <f>IFERROR(VLOOKUP(B159,Cargas!$B$3:$I$93,8,FALSE),0)</f>
        <v>0</v>
      </c>
      <c r="K159" s="116">
        <f t="shared" si="16"/>
        <v>0</v>
      </c>
      <c r="L159" s="6"/>
      <c r="M159" s="6"/>
      <c r="N159" s="4"/>
      <c r="W159" s="10">
        <f t="shared" si="14"/>
        <v>0</v>
      </c>
      <c r="X159" s="10">
        <f>+'MAYOR COLONES'!E169</f>
        <v>0</v>
      </c>
      <c r="Y159" s="10">
        <f t="shared" si="15"/>
        <v>0</v>
      </c>
    </row>
    <row r="160" spans="2:25" ht="12" customHeight="1">
      <c r="B160" s="116">
        <v>165</v>
      </c>
      <c r="C160" s="184"/>
      <c r="D160" s="177" t="s">
        <v>113</v>
      </c>
      <c r="E160" s="185"/>
      <c r="F160" s="17">
        <f t="shared" si="17"/>
        <v>0</v>
      </c>
      <c r="G160" s="186"/>
      <c r="H160" s="17">
        <f>IFERROR(VLOOKUP(B160,Cargas!$B$3:$I$93,8,FALSE),0)</f>
        <v>0</v>
      </c>
      <c r="K160" s="116">
        <f t="shared" si="16"/>
        <v>0</v>
      </c>
      <c r="L160" s="6"/>
      <c r="M160" s="6"/>
      <c r="N160" s="4"/>
      <c r="W160" s="10">
        <f t="shared" si="14"/>
        <v>0</v>
      </c>
      <c r="X160" s="10">
        <f>+'MAYOR COLONES'!E172</f>
        <v>0</v>
      </c>
      <c r="Y160" s="10">
        <f t="shared" si="15"/>
        <v>0</v>
      </c>
    </row>
    <row r="161" spans="2:25" s="2" customFormat="1" ht="12" customHeight="1">
      <c r="B161" s="116">
        <v>166</v>
      </c>
      <c r="C161" s="184"/>
      <c r="D161" s="177" t="s">
        <v>235</v>
      </c>
      <c r="E161" s="185"/>
      <c r="F161" s="17">
        <f t="shared" si="17"/>
        <v>0</v>
      </c>
      <c r="G161" s="186"/>
      <c r="H161" s="17">
        <f>IFERROR(VLOOKUP(B161,Cargas!$B$3:$I$93,8,FALSE),0)</f>
        <v>0</v>
      </c>
      <c r="I161" s="182"/>
      <c r="J161" s="183"/>
      <c r="K161" s="116">
        <f t="shared" si="16"/>
        <v>0</v>
      </c>
      <c r="L161" s="6"/>
      <c r="M161" s="6"/>
      <c r="N161" s="11"/>
      <c r="W161" s="10">
        <f t="shared" si="14"/>
        <v>0</v>
      </c>
      <c r="X161" s="10">
        <f>+'MAYOR COLONES'!E173</f>
        <v>0</v>
      </c>
      <c r="Y161" s="10">
        <f t="shared" si="15"/>
        <v>0</v>
      </c>
    </row>
    <row r="162" spans="2:25" s="2" customFormat="1" ht="12" customHeight="1">
      <c r="B162" s="116">
        <v>167</v>
      </c>
      <c r="C162" s="184"/>
      <c r="D162" s="177" t="s">
        <v>236</v>
      </c>
      <c r="E162" s="185"/>
      <c r="F162" s="17">
        <f t="shared" si="17"/>
        <v>0</v>
      </c>
      <c r="G162" s="186"/>
      <c r="H162" s="17">
        <f>IFERROR(VLOOKUP(B162,Cargas!$B$3:$I$93,8,FALSE),0)</f>
        <v>0</v>
      </c>
      <c r="I162" s="182"/>
      <c r="J162" s="183"/>
      <c r="K162" s="116">
        <f t="shared" si="16"/>
        <v>0</v>
      </c>
      <c r="L162" s="6"/>
      <c r="M162" s="6"/>
      <c r="N162" s="11"/>
      <c r="W162" s="10">
        <f t="shared" si="14"/>
        <v>0</v>
      </c>
      <c r="X162" s="10">
        <f>+'MAYOR COLONES'!E174</f>
        <v>0</v>
      </c>
      <c r="Y162" s="10">
        <f t="shared" si="15"/>
        <v>0</v>
      </c>
    </row>
    <row r="163" spans="2:25" ht="12" customHeight="1">
      <c r="B163" s="116">
        <v>168</v>
      </c>
      <c r="C163" s="184"/>
      <c r="D163" s="177" t="s">
        <v>99</v>
      </c>
      <c r="E163" s="185"/>
      <c r="F163" s="17">
        <f t="shared" si="17"/>
        <v>0</v>
      </c>
      <c r="G163" s="186"/>
      <c r="H163" s="17">
        <f>IFERROR(VLOOKUP(B163,Cargas!$B$3:$I$93,8,FALSE),0)</f>
        <v>0</v>
      </c>
      <c r="K163" s="116">
        <f t="shared" si="16"/>
        <v>0</v>
      </c>
      <c r="L163" s="6"/>
      <c r="M163" s="6"/>
      <c r="N163" s="4"/>
      <c r="W163" s="10">
        <f t="shared" si="14"/>
        <v>0</v>
      </c>
      <c r="X163" s="10">
        <f>+'MAYOR COLONES'!E175</f>
        <v>0</v>
      </c>
      <c r="Y163" s="10">
        <f t="shared" si="15"/>
        <v>0</v>
      </c>
    </row>
    <row r="164" spans="2:25">
      <c r="B164" s="116">
        <v>169</v>
      </c>
      <c r="C164" s="184"/>
      <c r="D164" s="180" t="s">
        <v>135</v>
      </c>
      <c r="E164" s="188"/>
      <c r="F164" s="17">
        <f t="shared" si="17"/>
        <v>0</v>
      </c>
      <c r="G164" s="186"/>
      <c r="H164" s="17">
        <f>IFERROR(VLOOKUP(B164,Cargas!$B$3:$I$93,8,FALSE),0)</f>
        <v>0</v>
      </c>
      <c r="K164" s="116">
        <f t="shared" si="16"/>
        <v>0</v>
      </c>
      <c r="L164" s="6"/>
      <c r="M164" s="6"/>
      <c r="N164" s="4"/>
      <c r="W164" s="10">
        <f t="shared" si="14"/>
        <v>0</v>
      </c>
      <c r="X164" s="10">
        <f>+'MAYOR COLONES'!E178</f>
        <v>0</v>
      </c>
      <c r="Y164" s="10">
        <f t="shared" si="15"/>
        <v>0</v>
      </c>
    </row>
    <row r="165" spans="2:25" s="2" customFormat="1">
      <c r="B165" s="116">
        <v>170</v>
      </c>
      <c r="C165" s="184"/>
      <c r="D165" s="177" t="s">
        <v>185</v>
      </c>
      <c r="E165" s="185"/>
      <c r="F165" s="17">
        <f t="shared" si="17"/>
        <v>0</v>
      </c>
      <c r="G165" s="186"/>
      <c r="H165" s="17">
        <f>IFERROR(VLOOKUP(B165,Cargas!$B$3:$I$93,8,FALSE),0)</f>
        <v>0</v>
      </c>
      <c r="I165" s="182"/>
      <c r="J165" s="183"/>
      <c r="K165" s="116">
        <f t="shared" si="16"/>
        <v>0</v>
      </c>
      <c r="L165" s="6"/>
      <c r="M165" s="6"/>
      <c r="N165" s="11"/>
      <c r="W165" s="10">
        <f t="shared" si="14"/>
        <v>0</v>
      </c>
      <c r="X165" s="10">
        <f>+'MAYOR COLONES'!E179</f>
        <v>0</v>
      </c>
      <c r="Y165" s="10">
        <f t="shared" si="15"/>
        <v>0</v>
      </c>
    </row>
    <row r="166" spans="2:25" s="2" customFormat="1" ht="12" customHeight="1">
      <c r="B166" s="116">
        <v>171</v>
      </c>
      <c r="C166" s="184"/>
      <c r="D166" s="177" t="s">
        <v>136</v>
      </c>
      <c r="E166" s="185"/>
      <c r="F166" s="17">
        <f t="shared" si="17"/>
        <v>0</v>
      </c>
      <c r="G166" s="186"/>
      <c r="H166" s="17">
        <f>IFERROR(VLOOKUP(B166,Cargas!$B$3:$I$93,8,FALSE),0)</f>
        <v>0</v>
      </c>
      <c r="I166" s="182"/>
      <c r="J166" s="183"/>
      <c r="K166" s="116">
        <f t="shared" si="16"/>
        <v>0</v>
      </c>
      <c r="L166" s="6"/>
      <c r="M166" s="6"/>
      <c r="N166" s="11"/>
      <c r="W166" s="10">
        <f t="shared" si="14"/>
        <v>0</v>
      </c>
      <c r="X166" s="10">
        <f>+'MAYOR COLONES'!E180</f>
        <v>0</v>
      </c>
      <c r="Y166" s="10">
        <f t="shared" si="15"/>
        <v>0</v>
      </c>
    </row>
    <row r="167" spans="2:25" ht="12" customHeight="1">
      <c r="B167" s="116">
        <v>172</v>
      </c>
      <c r="C167" s="184"/>
      <c r="D167" s="177" t="s">
        <v>114</v>
      </c>
      <c r="E167" s="185"/>
      <c r="F167" s="17">
        <f t="shared" si="17"/>
        <v>0</v>
      </c>
      <c r="G167" s="186"/>
      <c r="H167" s="17">
        <f>IFERROR(VLOOKUP(B167,Cargas!$B$3:$I$93,8,FALSE),0)</f>
        <v>0</v>
      </c>
      <c r="K167" s="116">
        <f t="shared" si="16"/>
        <v>0</v>
      </c>
      <c r="L167" s="6"/>
      <c r="M167" s="6"/>
      <c r="N167" s="4"/>
      <c r="W167" s="10">
        <f t="shared" si="14"/>
        <v>0</v>
      </c>
      <c r="X167" s="10">
        <f>+'MAYOR COLONES'!E181</f>
        <v>0</v>
      </c>
      <c r="Y167" s="10">
        <f t="shared" si="15"/>
        <v>0</v>
      </c>
    </row>
    <row r="168" spans="2:25" s="2" customFormat="1">
      <c r="B168" s="116">
        <v>173</v>
      </c>
      <c r="C168" s="187"/>
      <c r="D168" s="180" t="s">
        <v>115</v>
      </c>
      <c r="E168" s="188"/>
      <c r="F168" s="17">
        <f>+SUM(H168:H168)</f>
        <v>0</v>
      </c>
      <c r="G168" s="186"/>
      <c r="H168" s="17">
        <f>IFERROR(VLOOKUP(B168,Cargas!$B$3:$I$93,8,FALSE),0)</f>
        <v>0</v>
      </c>
      <c r="I168" s="182"/>
      <c r="J168" s="183"/>
      <c r="K168" s="116">
        <f t="shared" si="16"/>
        <v>0</v>
      </c>
      <c r="L168" s="6"/>
      <c r="M168" s="6"/>
      <c r="N168" s="11"/>
      <c r="W168" s="10">
        <f t="shared" si="14"/>
        <v>0</v>
      </c>
      <c r="X168" s="10">
        <f>+'MAYOR COLONES'!E182</f>
        <v>0</v>
      </c>
      <c r="Y168" s="10">
        <f t="shared" si="15"/>
        <v>0</v>
      </c>
    </row>
    <row r="169" spans="2:25" s="2" customFormat="1" ht="12" customHeight="1">
      <c r="B169" s="116">
        <v>174</v>
      </c>
      <c r="C169" s="187"/>
      <c r="D169" s="177" t="s">
        <v>116</v>
      </c>
      <c r="E169" s="185"/>
      <c r="F169" s="17">
        <f t="shared" si="17"/>
        <v>0</v>
      </c>
      <c r="G169" s="186"/>
      <c r="H169" s="17">
        <f>IFERROR(VLOOKUP(B169,Cargas!$B$3:$I$93,8,FALSE),0)</f>
        <v>0</v>
      </c>
      <c r="I169" s="182"/>
      <c r="J169" s="183"/>
      <c r="K169" s="116">
        <f t="shared" si="16"/>
        <v>0</v>
      </c>
      <c r="L169" s="6"/>
      <c r="M169" s="6"/>
      <c r="N169" s="11"/>
      <c r="W169" s="10">
        <f t="shared" si="14"/>
        <v>0</v>
      </c>
      <c r="X169" s="10">
        <f>+'MAYOR COLONES'!E183</f>
        <v>0</v>
      </c>
      <c r="Y169" s="10">
        <f t="shared" si="15"/>
        <v>0</v>
      </c>
    </row>
    <row r="170" spans="2:25" ht="12" customHeight="1">
      <c r="B170" s="116">
        <v>175</v>
      </c>
      <c r="C170" s="187"/>
      <c r="D170" s="177" t="s">
        <v>117</v>
      </c>
      <c r="E170" s="185"/>
      <c r="F170" s="17">
        <f t="shared" si="17"/>
        <v>0</v>
      </c>
      <c r="G170" s="186"/>
      <c r="H170" s="17">
        <f>IFERROR(VLOOKUP(B170,Cargas!$B$3:$I$93,8,FALSE),0)</f>
        <v>0</v>
      </c>
      <c r="K170" s="116">
        <f t="shared" si="16"/>
        <v>0</v>
      </c>
      <c r="L170" s="6"/>
      <c r="M170" s="6"/>
      <c r="N170" s="4"/>
      <c r="W170" s="10">
        <f>+F170</f>
        <v>0</v>
      </c>
      <c r="X170" s="10">
        <f>+'MAYOR COLONES'!E184</f>
        <v>0</v>
      </c>
      <c r="Y170" s="10">
        <f>+X170+W170</f>
        <v>0</v>
      </c>
    </row>
    <row r="171" spans="2:25" s="2" customFormat="1" ht="12" customHeight="1">
      <c r="B171" s="116">
        <v>176</v>
      </c>
      <c r="C171" s="187"/>
      <c r="D171" s="177" t="s">
        <v>104</v>
      </c>
      <c r="E171" s="185"/>
      <c r="F171" s="17">
        <f t="shared" si="17"/>
        <v>0</v>
      </c>
      <c r="G171" s="186"/>
      <c r="H171" s="17">
        <f>IFERROR(VLOOKUP(B171,Cargas!$B$3:$I$93,8,FALSE),0)</f>
        <v>0</v>
      </c>
      <c r="I171" s="182"/>
      <c r="J171" s="183"/>
      <c r="K171" s="116">
        <f t="shared" si="16"/>
        <v>0</v>
      </c>
      <c r="L171" s="6"/>
      <c r="M171" s="6"/>
      <c r="N171" s="11"/>
      <c r="W171" s="10">
        <f>+F171</f>
        <v>0</v>
      </c>
      <c r="X171" s="10">
        <f>+'MAYOR COLONES'!E185</f>
        <v>0</v>
      </c>
      <c r="Y171" s="10">
        <f>+X171+W171</f>
        <v>0</v>
      </c>
    </row>
    <row r="172" spans="2:25" s="2" customFormat="1" ht="12" customHeight="1">
      <c r="B172" s="116">
        <v>177</v>
      </c>
      <c r="C172" s="187"/>
      <c r="D172" s="177" t="s">
        <v>186</v>
      </c>
      <c r="E172" s="185"/>
      <c r="F172" s="17">
        <f t="shared" si="17"/>
        <v>0</v>
      </c>
      <c r="G172" s="186"/>
      <c r="H172" s="17">
        <f>IFERROR(VLOOKUP(B172,Cargas!$B$3:$I$93,8,FALSE),0)</f>
        <v>0</v>
      </c>
      <c r="I172" s="182"/>
      <c r="J172" s="183"/>
      <c r="K172" s="116">
        <f t="shared" si="16"/>
        <v>0</v>
      </c>
      <c r="L172" s="6"/>
      <c r="M172" s="6"/>
      <c r="N172" s="11"/>
      <c r="W172" s="10">
        <f>+F172</f>
        <v>0</v>
      </c>
      <c r="X172" s="10">
        <f>+'MAYOR COLONES'!E186</f>
        <v>0</v>
      </c>
      <c r="Y172" s="10">
        <f>+X172+W172</f>
        <v>0</v>
      </c>
    </row>
    <row r="173" spans="2:25" ht="12" customHeight="1">
      <c r="B173" s="116">
        <v>178</v>
      </c>
      <c r="C173" s="187"/>
      <c r="D173" s="177" t="s">
        <v>187</v>
      </c>
      <c r="E173" s="185"/>
      <c r="F173" s="18">
        <f>+SUM(H173:H173)</f>
        <v>0</v>
      </c>
      <c r="G173" s="17"/>
      <c r="H173" s="17">
        <f>IFERROR(VLOOKUP(B173,Cargas!$B$3:$I$93,8,FALSE),0)</f>
        <v>0</v>
      </c>
      <c r="K173" s="116">
        <f t="shared" si="16"/>
        <v>0</v>
      </c>
      <c r="L173" s="6"/>
      <c r="M173" s="6"/>
      <c r="N173" s="4"/>
      <c r="W173" s="10">
        <f t="shared" si="14"/>
        <v>0</v>
      </c>
      <c r="X173" s="10">
        <f>+'MAYOR COLONES'!E187</f>
        <v>0</v>
      </c>
      <c r="Y173" s="10">
        <f t="shared" si="15"/>
        <v>0</v>
      </c>
    </row>
    <row r="174" spans="2:25" s="2" customFormat="1" ht="12" customHeight="1">
      <c r="B174" s="116">
        <v>179</v>
      </c>
      <c r="C174" s="187"/>
      <c r="D174" s="177" t="s">
        <v>105</v>
      </c>
      <c r="E174" s="185"/>
      <c r="F174" s="17">
        <f t="shared" si="17"/>
        <v>0</v>
      </c>
      <c r="G174" s="186"/>
      <c r="H174" s="17">
        <f>IFERROR(VLOOKUP(B174,Cargas!$B$3:$I$93,8,FALSE),0)</f>
        <v>0</v>
      </c>
      <c r="I174" s="182"/>
      <c r="J174" s="183"/>
      <c r="K174" s="116">
        <f t="shared" si="16"/>
        <v>0</v>
      </c>
      <c r="L174" s="6"/>
      <c r="M174" s="6"/>
      <c r="N174" s="11"/>
      <c r="W174" s="10">
        <f t="shared" si="14"/>
        <v>0</v>
      </c>
      <c r="X174" s="10">
        <f>+'MAYOR COLONES'!E188</f>
        <v>0</v>
      </c>
      <c r="Y174" s="10">
        <f t="shared" si="15"/>
        <v>0</v>
      </c>
    </row>
    <row r="175" spans="2:25" s="2" customFormat="1" ht="12" customHeight="1">
      <c r="B175" s="116">
        <v>180</v>
      </c>
      <c r="C175" s="187"/>
      <c r="D175" s="177" t="s">
        <v>118</v>
      </c>
      <c r="E175" s="185"/>
      <c r="F175" s="17">
        <f t="shared" si="17"/>
        <v>0</v>
      </c>
      <c r="G175" s="186"/>
      <c r="H175" s="17">
        <f>IFERROR(VLOOKUP(B175,Cargas!$B$3:$I$93,8,FALSE),0)</f>
        <v>0</v>
      </c>
      <c r="I175" s="182"/>
      <c r="J175" s="183"/>
      <c r="K175" s="116">
        <f t="shared" si="16"/>
        <v>0</v>
      </c>
      <c r="L175" s="6"/>
      <c r="M175" s="6"/>
      <c r="N175" s="11"/>
      <c r="W175" s="10">
        <f t="shared" si="14"/>
        <v>0</v>
      </c>
      <c r="X175" s="10">
        <f>+'MAYOR COLONES'!E189</f>
        <v>0</v>
      </c>
      <c r="Y175" s="10">
        <f t="shared" si="15"/>
        <v>0</v>
      </c>
    </row>
    <row r="176" spans="2:25" ht="12" customHeight="1">
      <c r="B176" s="116">
        <v>182</v>
      </c>
      <c r="C176" s="187"/>
      <c r="D176" s="177" t="s">
        <v>119</v>
      </c>
      <c r="E176" s="185"/>
      <c r="F176" s="17">
        <f t="shared" si="17"/>
        <v>0</v>
      </c>
      <c r="G176" s="186"/>
      <c r="H176" s="17">
        <f>IFERROR(VLOOKUP(B176,Cargas!$B$3:$I$93,8,FALSE),0)</f>
        <v>0</v>
      </c>
      <c r="K176" s="116">
        <f t="shared" si="16"/>
        <v>0</v>
      </c>
      <c r="L176" s="6"/>
      <c r="M176" s="6"/>
      <c r="N176" s="4"/>
      <c r="W176" s="10">
        <f t="shared" si="14"/>
        <v>0</v>
      </c>
      <c r="X176" s="10">
        <f>+'MAYOR COLONES'!E190</f>
        <v>0</v>
      </c>
      <c r="Y176" s="10">
        <f t="shared" si="15"/>
        <v>0</v>
      </c>
    </row>
    <row r="177" spans="2:25" s="2" customFormat="1">
      <c r="B177" s="116">
        <v>183</v>
      </c>
      <c r="C177" s="187"/>
      <c r="D177" s="180" t="s">
        <v>188</v>
      </c>
      <c r="E177" s="188"/>
      <c r="F177" s="17">
        <f t="shared" si="17"/>
        <v>0</v>
      </c>
      <c r="G177" s="186"/>
      <c r="H177" s="17">
        <f>IFERROR(VLOOKUP(B177,Cargas!$B$3:$I$93,8,FALSE),0)</f>
        <v>0</v>
      </c>
      <c r="I177" s="182"/>
      <c r="J177" s="183"/>
      <c r="K177" s="116">
        <f t="shared" si="16"/>
        <v>0</v>
      </c>
      <c r="L177" s="6"/>
      <c r="M177" s="6"/>
      <c r="N177" s="11"/>
      <c r="W177" s="10">
        <f t="shared" si="14"/>
        <v>0</v>
      </c>
      <c r="X177" s="10">
        <f>+'MAYOR COLONES'!E191</f>
        <v>0</v>
      </c>
      <c r="Y177" s="10">
        <f t="shared" si="15"/>
        <v>0</v>
      </c>
    </row>
    <row r="178" spans="2:25" s="2" customFormat="1" ht="12" customHeight="1">
      <c r="B178" s="116">
        <v>184</v>
      </c>
      <c r="C178" s="187"/>
      <c r="D178" s="177" t="s">
        <v>189</v>
      </c>
      <c r="E178" s="185"/>
      <c r="F178" s="17">
        <f t="shared" si="17"/>
        <v>0</v>
      </c>
      <c r="G178" s="186"/>
      <c r="H178" s="17">
        <f>IFERROR(VLOOKUP(B178,Cargas!$B$3:$I$93,8,FALSE),0)</f>
        <v>0</v>
      </c>
      <c r="I178" s="182"/>
      <c r="J178" s="183"/>
      <c r="K178" s="116">
        <f t="shared" si="16"/>
        <v>0</v>
      </c>
      <c r="L178" s="6"/>
      <c r="M178" s="6"/>
      <c r="N178" s="11"/>
      <c r="W178" s="10">
        <f t="shared" si="14"/>
        <v>0</v>
      </c>
      <c r="X178" s="10">
        <f>+'MAYOR COLONES'!E192</f>
        <v>0</v>
      </c>
      <c r="Y178" s="10">
        <f t="shared" si="15"/>
        <v>0</v>
      </c>
    </row>
    <row r="179" spans="2:25" ht="12" customHeight="1">
      <c r="B179" s="116">
        <v>187</v>
      </c>
      <c r="C179" s="187"/>
      <c r="D179" s="177" t="s">
        <v>120</v>
      </c>
      <c r="E179" s="185"/>
      <c r="F179" s="17">
        <f t="shared" si="17"/>
        <v>0</v>
      </c>
      <c r="G179" s="186"/>
      <c r="H179" s="17">
        <f>IFERROR(VLOOKUP(B179,Cargas!$B$3:$I$93,8,FALSE),0)</f>
        <v>0</v>
      </c>
      <c r="K179" s="116">
        <f t="shared" si="16"/>
        <v>0</v>
      </c>
      <c r="L179" s="6"/>
      <c r="M179" s="6"/>
      <c r="N179" s="4"/>
      <c r="W179" s="10">
        <f t="shared" si="14"/>
        <v>0</v>
      </c>
      <c r="X179" s="10">
        <f>+'MAYOR COLONES'!E193</f>
        <v>0</v>
      </c>
      <c r="Y179" s="10">
        <f t="shared" si="15"/>
        <v>0</v>
      </c>
    </row>
    <row r="180" spans="2:25" s="2" customFormat="1" ht="12" customHeight="1">
      <c r="B180" s="116">
        <v>188</v>
      </c>
      <c r="C180" s="187"/>
      <c r="D180" s="177" t="s">
        <v>121</v>
      </c>
      <c r="E180" s="185"/>
      <c r="F180" s="17">
        <f t="shared" si="17"/>
        <v>0</v>
      </c>
      <c r="G180" s="186"/>
      <c r="H180" s="17">
        <f>IFERROR(VLOOKUP(B180,Cargas!$B$3:$I$93,8,FALSE),0)</f>
        <v>0</v>
      </c>
      <c r="I180" s="182"/>
      <c r="J180" s="183"/>
      <c r="K180" s="116">
        <f t="shared" si="16"/>
        <v>0</v>
      </c>
      <c r="L180" s="6"/>
      <c r="M180" s="6"/>
      <c r="N180" s="11"/>
      <c r="W180" s="10">
        <f t="shared" si="14"/>
        <v>0</v>
      </c>
      <c r="X180" s="10">
        <f>+'MAYOR COLONES'!E194</f>
        <v>0</v>
      </c>
      <c r="Y180" s="10">
        <f t="shared" si="15"/>
        <v>0</v>
      </c>
    </row>
    <row r="181" spans="2:25" s="2" customFormat="1" ht="12" customHeight="1">
      <c r="B181" s="116">
        <v>189</v>
      </c>
      <c r="C181" s="187"/>
      <c r="D181" s="180" t="s">
        <v>122</v>
      </c>
      <c r="E181" s="188"/>
      <c r="F181" s="18">
        <f>+SUM(H181:H181)</f>
        <v>0</v>
      </c>
      <c r="G181" s="17"/>
      <c r="H181" s="17">
        <f>IFERROR(VLOOKUP(B181,Cargas!$B$3:$I$93,8,FALSE),0)</f>
        <v>0</v>
      </c>
      <c r="I181" s="182"/>
      <c r="J181" s="183"/>
      <c r="K181" s="116">
        <f t="shared" si="16"/>
        <v>0</v>
      </c>
      <c r="L181" s="6"/>
      <c r="M181" s="6"/>
      <c r="N181" s="11"/>
      <c r="W181" s="10">
        <f t="shared" si="14"/>
        <v>0</v>
      </c>
      <c r="X181" s="10">
        <f>+'MAYOR COLONES'!E195</f>
        <v>0</v>
      </c>
      <c r="Y181" s="10">
        <f t="shared" si="15"/>
        <v>0</v>
      </c>
    </row>
    <row r="182" spans="2:25" ht="12" customHeight="1">
      <c r="B182" s="116">
        <v>190</v>
      </c>
      <c r="C182" s="187"/>
      <c r="D182" s="177" t="s">
        <v>123</v>
      </c>
      <c r="E182" s="185"/>
      <c r="F182" s="17">
        <f t="shared" si="17"/>
        <v>0</v>
      </c>
      <c r="G182" s="186"/>
      <c r="H182" s="17">
        <f>IFERROR(VLOOKUP(B182,Cargas!$B$3:$I$93,8,FALSE),0)</f>
        <v>0</v>
      </c>
      <c r="K182" s="116">
        <f t="shared" si="16"/>
        <v>0</v>
      </c>
      <c r="L182" s="6"/>
      <c r="M182" s="6"/>
      <c r="N182" s="4"/>
      <c r="W182" s="10">
        <f t="shared" si="14"/>
        <v>0</v>
      </c>
      <c r="X182" s="10">
        <f>+'MAYOR COLONES'!E196</f>
        <v>0</v>
      </c>
      <c r="Y182" s="10">
        <f t="shared" si="15"/>
        <v>0</v>
      </c>
    </row>
    <row r="183" spans="2:25" s="2" customFormat="1" ht="12" customHeight="1">
      <c r="B183" s="116">
        <v>191</v>
      </c>
      <c r="C183" s="187"/>
      <c r="D183" s="177" t="s">
        <v>190</v>
      </c>
      <c r="E183" s="185"/>
      <c r="F183" s="17">
        <f t="shared" si="17"/>
        <v>0</v>
      </c>
      <c r="G183" s="186"/>
      <c r="H183" s="17">
        <f>IFERROR(VLOOKUP(B183,Cargas!$B$3:$I$93,8,FALSE),0)</f>
        <v>0</v>
      </c>
      <c r="I183" s="182"/>
      <c r="J183" s="183"/>
      <c r="K183" s="116">
        <f t="shared" si="16"/>
        <v>0</v>
      </c>
      <c r="L183" s="6"/>
      <c r="M183" s="6"/>
      <c r="N183" s="11"/>
      <c r="W183" s="10">
        <f t="shared" si="14"/>
        <v>0</v>
      </c>
      <c r="X183" s="10">
        <f>+'MAYOR COLONES'!E197</f>
        <v>0</v>
      </c>
      <c r="Y183" s="10">
        <f t="shared" si="15"/>
        <v>0</v>
      </c>
    </row>
    <row r="184" spans="2:25" s="2" customFormat="1" ht="12" customHeight="1">
      <c r="B184" s="116">
        <v>192</v>
      </c>
      <c r="C184" s="187"/>
      <c r="D184" s="180" t="s">
        <v>124</v>
      </c>
      <c r="E184" s="188"/>
      <c r="F184" s="18">
        <f>+SUM(H184:H184)</f>
        <v>0</v>
      </c>
      <c r="G184" s="17"/>
      <c r="H184" s="17">
        <f>IFERROR(VLOOKUP(B184,Cargas!$B$3:$I$93,8,FALSE),0)</f>
        <v>0</v>
      </c>
      <c r="I184" s="182"/>
      <c r="J184" s="183"/>
      <c r="K184" s="116">
        <f t="shared" si="16"/>
        <v>0</v>
      </c>
      <c r="L184" s="6"/>
      <c r="M184" s="6"/>
      <c r="N184" s="11"/>
      <c r="W184" s="10">
        <f t="shared" si="14"/>
        <v>0</v>
      </c>
      <c r="X184" s="10">
        <f>+'MAYOR COLONES'!E198</f>
        <v>0</v>
      </c>
      <c r="Y184" s="10">
        <f t="shared" si="15"/>
        <v>0</v>
      </c>
    </row>
    <row r="185" spans="2:25" ht="12" customHeight="1">
      <c r="B185" s="116">
        <v>193</v>
      </c>
      <c r="C185" s="187"/>
      <c r="D185" s="177" t="s">
        <v>191</v>
      </c>
      <c r="E185" s="185"/>
      <c r="F185" s="17">
        <f t="shared" si="17"/>
        <v>0</v>
      </c>
      <c r="G185" s="186"/>
      <c r="H185" s="17">
        <f>IFERROR(VLOOKUP(B185,Cargas!$B$3:$I$93,8,FALSE),0)</f>
        <v>0</v>
      </c>
      <c r="K185" s="116">
        <f t="shared" si="16"/>
        <v>0</v>
      </c>
      <c r="L185" s="6"/>
      <c r="M185" s="6"/>
      <c r="N185" s="4"/>
      <c r="W185" s="10">
        <f>+F185</f>
        <v>0</v>
      </c>
      <c r="X185" s="10">
        <f>+'MAYOR COLONES'!E199</f>
        <v>0</v>
      </c>
      <c r="Y185" s="10">
        <f>+X185+W185</f>
        <v>0</v>
      </c>
    </row>
    <row r="186" spans="2:25" s="2" customFormat="1" ht="12" customHeight="1">
      <c r="B186" s="116">
        <v>195</v>
      </c>
      <c r="C186" s="187"/>
      <c r="D186" s="177" t="s">
        <v>125</v>
      </c>
      <c r="E186" s="185"/>
      <c r="F186" s="17">
        <f t="shared" si="17"/>
        <v>0</v>
      </c>
      <c r="G186" s="186"/>
      <c r="H186" s="17">
        <f>IFERROR(VLOOKUP(B186,Cargas!$B$3:$I$93,8,FALSE),0)</f>
        <v>0</v>
      </c>
      <c r="I186" s="182"/>
      <c r="J186" s="183"/>
      <c r="K186" s="116">
        <f t="shared" si="16"/>
        <v>0</v>
      </c>
      <c r="L186" s="6"/>
      <c r="M186" s="6"/>
      <c r="N186" s="11"/>
      <c r="W186" s="10">
        <f>+F186</f>
        <v>0</v>
      </c>
      <c r="X186" s="10">
        <f>+'MAYOR COLONES'!E200</f>
        <v>0</v>
      </c>
      <c r="Y186" s="10">
        <f>+X186+W186</f>
        <v>0</v>
      </c>
    </row>
    <row r="187" spans="2:25" s="2" customFormat="1" ht="12" customHeight="1">
      <c r="B187" s="116">
        <v>196</v>
      </c>
      <c r="C187" s="187"/>
      <c r="D187" s="177" t="s">
        <v>129</v>
      </c>
      <c r="E187" s="185"/>
      <c r="F187" s="17">
        <f t="shared" si="17"/>
        <v>0</v>
      </c>
      <c r="G187" s="186"/>
      <c r="H187" s="17">
        <f>IFERROR(VLOOKUP(B187,Cargas!$B$3:$I$93,8,FALSE),0)</f>
        <v>0</v>
      </c>
      <c r="I187" s="182"/>
      <c r="J187" s="183"/>
      <c r="K187" s="116">
        <f t="shared" si="16"/>
        <v>0</v>
      </c>
      <c r="L187" s="6"/>
      <c r="M187" s="6"/>
      <c r="N187" s="11"/>
      <c r="W187" s="10">
        <f>+F187</f>
        <v>0</v>
      </c>
      <c r="X187" s="10">
        <f>+'MAYOR COLONES'!E201</f>
        <v>0</v>
      </c>
      <c r="Y187" s="10">
        <f>+X187+W187</f>
        <v>0</v>
      </c>
    </row>
    <row r="188" spans="2:25" ht="12" customHeight="1">
      <c r="B188" s="116">
        <v>197</v>
      </c>
      <c r="C188" s="187"/>
      <c r="D188" s="189" t="s">
        <v>128</v>
      </c>
      <c r="E188" s="185"/>
      <c r="F188" s="17">
        <f t="shared" si="17"/>
        <v>0</v>
      </c>
      <c r="G188" s="186"/>
      <c r="H188" s="17">
        <f>IFERROR(VLOOKUP(B188,Cargas!$B$3:$I$93,8,FALSE),0)</f>
        <v>0</v>
      </c>
      <c r="K188" s="116">
        <f t="shared" si="16"/>
        <v>0</v>
      </c>
      <c r="L188" s="6"/>
      <c r="M188" s="6"/>
      <c r="N188" s="4"/>
      <c r="W188" s="10">
        <f t="shared" si="14"/>
        <v>0</v>
      </c>
      <c r="X188" s="10">
        <f>+'MAYOR COLONES'!E202</f>
        <v>0</v>
      </c>
      <c r="Y188" s="10">
        <f t="shared" si="15"/>
        <v>0</v>
      </c>
    </row>
    <row r="189" spans="2:25" ht="12" customHeight="1">
      <c r="B189" s="116">
        <v>198</v>
      </c>
      <c r="C189" s="187"/>
      <c r="D189" s="189" t="s">
        <v>275</v>
      </c>
      <c r="E189" s="185"/>
      <c r="F189" s="17">
        <f t="shared" si="17"/>
        <v>0</v>
      </c>
      <c r="G189" s="186"/>
      <c r="H189" s="17">
        <f>IFERROR(VLOOKUP(B189,Cargas!$B$3:$I$93,8,FALSE),0)</f>
        <v>0</v>
      </c>
      <c r="K189" s="116">
        <f t="shared" si="16"/>
        <v>0</v>
      </c>
      <c r="L189" s="6"/>
      <c r="M189" s="6"/>
      <c r="N189" s="4"/>
      <c r="W189" s="10">
        <f t="shared" si="14"/>
        <v>0</v>
      </c>
      <c r="X189" s="10">
        <f>+'MAYOR COLONES'!E205</f>
        <v>0</v>
      </c>
      <c r="Y189" s="10">
        <f t="shared" si="15"/>
        <v>0</v>
      </c>
    </row>
    <row r="190" spans="2:25" ht="12" customHeight="1">
      <c r="B190" s="116">
        <v>199</v>
      </c>
      <c r="C190" s="187"/>
      <c r="D190" s="189" t="s">
        <v>130</v>
      </c>
      <c r="E190" s="185"/>
      <c r="F190" s="17">
        <f t="shared" si="17"/>
        <v>0</v>
      </c>
      <c r="G190" s="186"/>
      <c r="H190" s="17">
        <f>IFERROR(VLOOKUP(B190,Cargas!$B$3:$I$93,8,FALSE),0)</f>
        <v>0</v>
      </c>
      <c r="K190" s="116">
        <f t="shared" si="16"/>
        <v>0</v>
      </c>
      <c r="L190" s="6"/>
      <c r="M190" s="6"/>
      <c r="N190" s="4"/>
      <c r="W190" s="10">
        <f t="shared" si="14"/>
        <v>0</v>
      </c>
      <c r="X190" s="10">
        <f>+'MAYOR COLONES'!E208</f>
        <v>0</v>
      </c>
      <c r="Y190" s="10">
        <f t="shared" si="15"/>
        <v>0</v>
      </c>
    </row>
    <row r="191" spans="2:25" ht="12" customHeight="1">
      <c r="B191" s="116">
        <v>200</v>
      </c>
      <c r="C191" s="187"/>
      <c r="D191" s="189" t="s">
        <v>126</v>
      </c>
      <c r="E191" s="185"/>
      <c r="F191" s="17">
        <f t="shared" si="17"/>
        <v>0</v>
      </c>
      <c r="G191" s="186"/>
      <c r="H191" s="17">
        <f>IFERROR(VLOOKUP(B191,Cargas!$B$3:$I$93,8,FALSE),0)</f>
        <v>0</v>
      </c>
      <c r="K191" s="116">
        <f t="shared" si="16"/>
        <v>0</v>
      </c>
      <c r="L191" s="6"/>
      <c r="M191" s="6"/>
      <c r="N191" s="4"/>
      <c r="W191" s="10">
        <f t="shared" si="14"/>
        <v>0</v>
      </c>
      <c r="X191" s="10">
        <f>+'MAYOR COLONES'!E211</f>
        <v>0</v>
      </c>
      <c r="Y191" s="10">
        <f t="shared" si="15"/>
        <v>0</v>
      </c>
    </row>
    <row r="192" spans="2:25" ht="12" customHeight="1">
      <c r="B192" s="116">
        <v>202</v>
      </c>
      <c r="C192" s="187"/>
      <c r="D192" s="189" t="s">
        <v>127</v>
      </c>
      <c r="E192" s="185"/>
      <c r="F192" s="17">
        <f t="shared" si="17"/>
        <v>0</v>
      </c>
      <c r="G192" s="186"/>
      <c r="H192" s="17">
        <f>IFERROR(VLOOKUP(B192,Cargas!$B$3:$I$93,8,FALSE),0)</f>
        <v>0</v>
      </c>
      <c r="K192" s="116">
        <f t="shared" si="16"/>
        <v>0</v>
      </c>
      <c r="L192" s="6"/>
      <c r="M192" s="6"/>
      <c r="N192" s="4"/>
      <c r="W192" s="10">
        <f t="shared" ref="W192:W217" si="20">+F192</f>
        <v>0</v>
      </c>
      <c r="X192" s="10">
        <f>+'MAYOR COLONES'!E214</f>
        <v>0</v>
      </c>
      <c r="Y192" s="10">
        <f t="shared" ref="Y192:Y217" si="21">+X192+W192</f>
        <v>0</v>
      </c>
    </row>
    <row r="193" spans="2:25" ht="12" customHeight="1">
      <c r="B193" s="116">
        <v>203</v>
      </c>
      <c r="C193" s="187"/>
      <c r="D193" s="189" t="s">
        <v>131</v>
      </c>
      <c r="E193" s="185"/>
      <c r="F193" s="17">
        <f t="shared" si="17"/>
        <v>0</v>
      </c>
      <c r="G193" s="186"/>
      <c r="H193" s="17">
        <f>IFERROR(VLOOKUP(B193,Cargas!$B$3:$I$93,8,FALSE),0)</f>
        <v>0</v>
      </c>
      <c r="K193" s="116">
        <f t="shared" si="16"/>
        <v>0</v>
      </c>
      <c r="L193" s="6"/>
      <c r="M193" s="6"/>
      <c r="N193" s="4"/>
      <c r="W193" s="10">
        <f>+F193</f>
        <v>0</v>
      </c>
      <c r="X193" s="10">
        <f>+'MAYOR COLONES'!E217</f>
        <v>0</v>
      </c>
      <c r="Y193" s="10">
        <f>+X193+W193</f>
        <v>0</v>
      </c>
    </row>
    <row r="194" spans="2:25" ht="12" customHeight="1">
      <c r="B194" s="116">
        <v>204</v>
      </c>
      <c r="C194" s="187"/>
      <c r="D194" s="189" t="s">
        <v>132</v>
      </c>
      <c r="E194" s="185"/>
      <c r="F194" s="17">
        <f t="shared" si="17"/>
        <v>0</v>
      </c>
      <c r="G194" s="186"/>
      <c r="H194" s="17">
        <f>IFERROR(VLOOKUP(B194,Cargas!$B$3:$I$93,8,FALSE),0)</f>
        <v>0</v>
      </c>
      <c r="K194" s="116">
        <f t="shared" si="16"/>
        <v>0</v>
      </c>
      <c r="L194" s="6"/>
      <c r="M194" s="6"/>
      <c r="N194" s="4"/>
      <c r="W194" s="10">
        <f t="shared" si="20"/>
        <v>0</v>
      </c>
      <c r="X194" s="10">
        <f>+'MAYOR COLONES'!E220</f>
        <v>0</v>
      </c>
      <c r="Y194" s="10">
        <f t="shared" si="21"/>
        <v>0</v>
      </c>
    </row>
    <row r="195" spans="2:25" ht="12" customHeight="1">
      <c r="B195" s="116">
        <v>205</v>
      </c>
      <c r="C195" s="187"/>
      <c r="D195" s="180" t="s">
        <v>137</v>
      </c>
      <c r="E195" s="188"/>
      <c r="F195" s="18">
        <f>+SUM(H195:H195)</f>
        <v>0</v>
      </c>
      <c r="G195" s="17"/>
      <c r="H195" s="17">
        <f>IFERROR(VLOOKUP(B195,Cargas!$B$3:$I$93,8,FALSE),0)</f>
        <v>0</v>
      </c>
      <c r="K195" s="116">
        <f t="shared" si="16"/>
        <v>0</v>
      </c>
      <c r="L195" s="6"/>
      <c r="M195" s="6"/>
      <c r="N195" s="4"/>
      <c r="W195" s="10">
        <f t="shared" si="20"/>
        <v>0</v>
      </c>
      <c r="X195" s="10">
        <f>+'MAYOR COLONES'!E223</f>
        <v>0</v>
      </c>
      <c r="Y195" s="10">
        <f t="shared" si="21"/>
        <v>0</v>
      </c>
    </row>
    <row r="196" spans="2:25" s="2" customFormat="1" ht="12" customHeight="1">
      <c r="B196" s="116">
        <v>206</v>
      </c>
      <c r="C196" s="187"/>
      <c r="D196" s="180" t="s">
        <v>138</v>
      </c>
      <c r="E196" s="188"/>
      <c r="F196" s="17">
        <f t="shared" si="17"/>
        <v>0</v>
      </c>
      <c r="G196" s="186"/>
      <c r="H196" s="17">
        <f>IFERROR(VLOOKUP(B196,Cargas!$B$3:$I$93,8,FALSE),0)</f>
        <v>0</v>
      </c>
      <c r="I196" s="182"/>
      <c r="J196" s="183"/>
      <c r="K196" s="116">
        <f t="shared" si="16"/>
        <v>0</v>
      </c>
      <c r="L196" s="6"/>
      <c r="M196" s="6"/>
      <c r="N196" s="11"/>
      <c r="W196" s="10">
        <f t="shared" si="20"/>
        <v>0</v>
      </c>
      <c r="X196" s="10">
        <f>+'MAYOR COLONES'!E224</f>
        <v>0</v>
      </c>
      <c r="Y196" s="10">
        <f t="shared" si="21"/>
        <v>0</v>
      </c>
    </row>
    <row r="197" spans="2:25" s="2" customFormat="1">
      <c r="B197" s="116">
        <v>207</v>
      </c>
      <c r="C197" s="187"/>
      <c r="D197" s="180" t="s">
        <v>139</v>
      </c>
      <c r="E197" s="188"/>
      <c r="F197" s="18">
        <f>+SUM(H197:H197)</f>
        <v>0</v>
      </c>
      <c r="G197" s="17"/>
      <c r="H197" s="17">
        <f>IFERROR(VLOOKUP(B197,Cargas!$B$3:$I$93,8,FALSE),0)</f>
        <v>0</v>
      </c>
      <c r="I197" s="182"/>
      <c r="J197" s="183"/>
      <c r="K197" s="116">
        <f t="shared" si="16"/>
        <v>0</v>
      </c>
      <c r="L197" s="6"/>
      <c r="M197" s="6"/>
      <c r="N197" s="11"/>
      <c r="W197" s="10">
        <f t="shared" si="20"/>
        <v>0</v>
      </c>
      <c r="X197" s="10">
        <f>+'MAYOR COLONES'!E225</f>
        <v>0</v>
      </c>
      <c r="Y197" s="10">
        <f t="shared" si="21"/>
        <v>0</v>
      </c>
    </row>
    <row r="198" spans="2:25" ht="12" customHeight="1">
      <c r="B198" s="116">
        <v>208</v>
      </c>
      <c r="C198" s="187"/>
      <c r="D198" s="180" t="s">
        <v>140</v>
      </c>
      <c r="E198" s="188"/>
      <c r="F198" s="18">
        <f>+SUM(H198:H198)</f>
        <v>0</v>
      </c>
      <c r="G198" s="17"/>
      <c r="H198" s="17">
        <f>IFERROR(VLOOKUP(B198,Cargas!$B$3:$I$93,8,FALSE),0)</f>
        <v>0</v>
      </c>
      <c r="K198" s="116">
        <f t="shared" si="16"/>
        <v>0</v>
      </c>
      <c r="L198" s="6"/>
      <c r="M198" s="6"/>
      <c r="N198" s="4"/>
      <c r="W198" s="10">
        <f t="shared" si="20"/>
        <v>0</v>
      </c>
      <c r="X198" s="10">
        <f>+'MAYOR COLONES'!E226</f>
        <v>0</v>
      </c>
      <c r="Y198" s="10">
        <f t="shared" si="21"/>
        <v>0</v>
      </c>
    </row>
    <row r="199" spans="2:25">
      <c r="B199" s="116">
        <v>209</v>
      </c>
      <c r="C199" s="187"/>
      <c r="D199" s="189" t="s">
        <v>141</v>
      </c>
      <c r="E199" s="185"/>
      <c r="F199" s="17">
        <f>+SUM(H199:H199)</f>
        <v>0</v>
      </c>
      <c r="G199" s="186"/>
      <c r="H199" s="17">
        <f>IFERROR(VLOOKUP(B199,Cargas!$B$3:$I$93,8,FALSE),0)</f>
        <v>0</v>
      </c>
      <c r="K199" s="116">
        <f t="shared" si="16"/>
        <v>0</v>
      </c>
      <c r="L199" s="6"/>
      <c r="M199" s="6"/>
      <c r="N199" s="4"/>
      <c r="W199" s="10">
        <f t="shared" si="20"/>
        <v>0</v>
      </c>
      <c r="X199" s="10">
        <f>+'MAYOR COLONES'!E229</f>
        <v>0</v>
      </c>
      <c r="Y199" s="10">
        <f t="shared" si="21"/>
        <v>0</v>
      </c>
    </row>
    <row r="200" spans="2:25" ht="12" customHeight="1">
      <c r="B200" s="116">
        <v>210</v>
      </c>
      <c r="C200" s="187"/>
      <c r="D200" s="189" t="s">
        <v>142</v>
      </c>
      <c r="E200" s="185"/>
      <c r="F200" s="17">
        <f t="shared" si="17"/>
        <v>0</v>
      </c>
      <c r="G200" s="186"/>
      <c r="H200" s="17">
        <f>IFERROR(VLOOKUP(B200,Cargas!$B$3:$I$93,8,FALSE),0)</f>
        <v>0</v>
      </c>
      <c r="K200" s="116">
        <f t="shared" si="16"/>
        <v>0</v>
      </c>
      <c r="L200" s="6"/>
      <c r="M200" s="6"/>
      <c r="N200" s="4"/>
      <c r="W200" s="10">
        <f t="shared" si="20"/>
        <v>0</v>
      </c>
      <c r="X200" s="10">
        <f>+'MAYOR COLONES'!E232</f>
        <v>0</v>
      </c>
      <c r="Y200" s="10">
        <f t="shared" si="21"/>
        <v>0</v>
      </c>
    </row>
    <row r="201" spans="2:25" s="2" customFormat="1" ht="12" customHeight="1">
      <c r="B201" s="116">
        <v>211</v>
      </c>
      <c r="C201" s="187"/>
      <c r="D201" s="189" t="s">
        <v>143</v>
      </c>
      <c r="E201" s="185"/>
      <c r="F201" s="17">
        <f t="shared" si="17"/>
        <v>0</v>
      </c>
      <c r="G201" s="186"/>
      <c r="H201" s="17">
        <f>IFERROR(VLOOKUP(B201,Cargas!$B$3:$I$93,8,FALSE),0)</f>
        <v>0</v>
      </c>
      <c r="I201" s="182"/>
      <c r="J201" s="183"/>
      <c r="K201" s="116">
        <f t="shared" si="16"/>
        <v>0</v>
      </c>
      <c r="L201" s="6"/>
      <c r="M201" s="6"/>
      <c r="N201" s="11"/>
      <c r="W201" s="10">
        <f t="shared" si="20"/>
        <v>0</v>
      </c>
      <c r="X201" s="10">
        <f>+'MAYOR COLONES'!E233</f>
        <v>0</v>
      </c>
      <c r="Y201" s="10">
        <f t="shared" si="21"/>
        <v>0</v>
      </c>
    </row>
    <row r="202" spans="2:25" s="2" customFormat="1" ht="12" customHeight="1">
      <c r="B202" s="116">
        <v>212</v>
      </c>
      <c r="C202" s="187"/>
      <c r="D202" s="180" t="s">
        <v>144</v>
      </c>
      <c r="E202" s="188"/>
      <c r="F202" s="18">
        <f>+SUM(H202:H202)</f>
        <v>0</v>
      </c>
      <c r="G202" s="17"/>
      <c r="H202" s="17">
        <f>IFERROR(VLOOKUP(B202,Cargas!$B$3:$I$93,8,FALSE),0)</f>
        <v>0</v>
      </c>
      <c r="I202" s="182"/>
      <c r="J202" s="183"/>
      <c r="K202" s="116">
        <f t="shared" si="16"/>
        <v>0</v>
      </c>
      <c r="L202" s="6"/>
      <c r="M202" s="6"/>
      <c r="N202" s="11"/>
      <c r="W202" s="10">
        <f t="shared" si="20"/>
        <v>0</v>
      </c>
      <c r="X202" s="10">
        <f>+'MAYOR COLONES'!E234</f>
        <v>0</v>
      </c>
      <c r="Y202" s="10">
        <f t="shared" si="21"/>
        <v>0</v>
      </c>
    </row>
    <row r="203" spans="2:25">
      <c r="B203" s="116">
        <v>213</v>
      </c>
      <c r="C203" s="187"/>
      <c r="D203" s="180" t="s">
        <v>145</v>
      </c>
      <c r="E203" s="188"/>
      <c r="F203" s="18">
        <f>+SUM(H203:H203)</f>
        <v>0</v>
      </c>
      <c r="G203" s="17"/>
      <c r="H203" s="17">
        <f>IFERROR(VLOOKUP(B203,Cargas!$B$3:$I$93,8,FALSE),0)</f>
        <v>0</v>
      </c>
      <c r="K203" s="116">
        <f t="shared" si="16"/>
        <v>0</v>
      </c>
      <c r="L203" s="6"/>
      <c r="M203" s="6"/>
      <c r="N203" s="4"/>
      <c r="W203" s="10">
        <f t="shared" si="20"/>
        <v>0</v>
      </c>
      <c r="X203" s="10" t="e">
        <f>+'MAYOR COLONES'!#REF!</f>
        <v>#REF!</v>
      </c>
      <c r="Y203" s="10" t="e">
        <f t="shared" si="21"/>
        <v>#REF!</v>
      </c>
    </row>
    <row r="204" spans="2:25">
      <c r="B204" s="116">
        <v>214</v>
      </c>
      <c r="C204" s="187"/>
      <c r="D204" s="180" t="s">
        <v>146</v>
      </c>
      <c r="E204" s="188"/>
      <c r="F204" s="18">
        <f>+SUM(H204:H204)</f>
        <v>0</v>
      </c>
      <c r="G204" s="17"/>
      <c r="H204" s="17">
        <f>IFERROR(VLOOKUP(B204,Cargas!$B$3:$I$93,8,FALSE),0)</f>
        <v>0</v>
      </c>
      <c r="K204" s="116">
        <f t="shared" si="16"/>
        <v>0</v>
      </c>
      <c r="L204" s="6"/>
      <c r="M204" s="6"/>
      <c r="N204" s="4"/>
      <c r="W204" s="10">
        <f t="shared" si="20"/>
        <v>0</v>
      </c>
      <c r="X204" s="10">
        <f>+'MAYOR COLONES'!E238</f>
        <v>0</v>
      </c>
      <c r="Y204" s="10">
        <f t="shared" si="21"/>
        <v>0</v>
      </c>
    </row>
    <row r="205" spans="2:25">
      <c r="B205" s="116">
        <v>215</v>
      </c>
      <c r="C205" s="187"/>
      <c r="D205" s="180" t="s">
        <v>147</v>
      </c>
      <c r="E205" s="188"/>
      <c r="F205" s="17">
        <f t="shared" si="17"/>
        <v>0</v>
      </c>
      <c r="G205" s="186"/>
      <c r="H205" s="17">
        <f>IFERROR(VLOOKUP(B205,Cargas!$B$3:$I$93,8,FALSE),0)</f>
        <v>0</v>
      </c>
      <c r="K205" s="116">
        <f t="shared" si="16"/>
        <v>0</v>
      </c>
      <c r="L205" s="6"/>
      <c r="M205" s="6"/>
      <c r="N205" s="4"/>
      <c r="W205" s="10">
        <f t="shared" si="20"/>
        <v>0</v>
      </c>
      <c r="X205" s="10">
        <f>+'MAYOR COLONES'!E241</f>
        <v>0</v>
      </c>
      <c r="Y205" s="10">
        <f t="shared" si="21"/>
        <v>0</v>
      </c>
    </row>
    <row r="206" spans="2:25" s="2" customFormat="1">
      <c r="B206" s="116">
        <v>216</v>
      </c>
      <c r="C206" s="187"/>
      <c r="D206" s="180" t="s">
        <v>148</v>
      </c>
      <c r="E206" s="188"/>
      <c r="F206" s="18">
        <f>+SUM(H206:H206)</f>
        <v>0</v>
      </c>
      <c r="G206" s="17"/>
      <c r="H206" s="17">
        <f>IFERROR(VLOOKUP(B206,Cargas!$B$3:$I$93,8,FALSE),0)</f>
        <v>0</v>
      </c>
      <c r="I206" s="182"/>
      <c r="J206" s="183"/>
      <c r="K206" s="116">
        <f t="shared" si="16"/>
        <v>0</v>
      </c>
      <c r="L206" s="6"/>
      <c r="M206" s="6"/>
      <c r="N206" s="11"/>
      <c r="W206" s="10">
        <f t="shared" si="20"/>
        <v>0</v>
      </c>
      <c r="X206" s="10">
        <f>+'MAYOR COLONES'!E242</f>
        <v>0</v>
      </c>
      <c r="Y206" s="10">
        <f t="shared" si="21"/>
        <v>0</v>
      </c>
    </row>
    <row r="207" spans="2:25" s="2" customFormat="1" ht="12" customHeight="1">
      <c r="B207" s="116">
        <v>217</v>
      </c>
      <c r="C207" s="187"/>
      <c r="D207" s="180" t="s">
        <v>262</v>
      </c>
      <c r="E207" s="188"/>
      <c r="F207" s="17">
        <f t="shared" si="17"/>
        <v>0</v>
      </c>
      <c r="G207" s="186"/>
      <c r="H207" s="17">
        <f>IFERROR(VLOOKUP(B207,Cargas!$B$3:$I$93,8,FALSE),0)</f>
        <v>0</v>
      </c>
      <c r="I207" s="182"/>
      <c r="J207" s="183"/>
      <c r="K207" s="116">
        <f t="shared" ref="K207:K270" si="22">+F207/$K$9</f>
        <v>0</v>
      </c>
      <c r="L207" s="6"/>
      <c r="M207" s="6"/>
      <c r="N207" s="11"/>
      <c r="W207" s="10">
        <f t="shared" si="20"/>
        <v>0</v>
      </c>
      <c r="X207" s="10">
        <f>+'MAYOR COLONES'!E243</f>
        <v>0</v>
      </c>
      <c r="Y207" s="10">
        <f t="shared" si="21"/>
        <v>0</v>
      </c>
    </row>
    <row r="208" spans="2:25" ht="12" customHeight="1">
      <c r="B208" s="116">
        <v>218</v>
      </c>
      <c r="C208" s="187"/>
      <c r="D208" s="180" t="s">
        <v>237</v>
      </c>
      <c r="E208" s="188"/>
      <c r="F208" s="17">
        <f>+SUM(H208:H208)</f>
        <v>0</v>
      </c>
      <c r="G208" s="186"/>
      <c r="H208" s="17">
        <f>IFERROR(VLOOKUP(B208,Cargas!$B$3:$I$93,8,FALSE),0)</f>
        <v>0</v>
      </c>
      <c r="K208" s="116">
        <f t="shared" si="22"/>
        <v>0</v>
      </c>
      <c r="L208" s="6"/>
      <c r="M208" s="6"/>
      <c r="N208" s="4"/>
      <c r="W208" s="10">
        <f t="shared" si="20"/>
        <v>0</v>
      </c>
      <c r="X208" s="10">
        <f>+'MAYOR COLONES'!E237</f>
        <v>0</v>
      </c>
      <c r="Y208" s="10">
        <f t="shared" si="21"/>
        <v>0</v>
      </c>
    </row>
    <row r="209" spans="2:25" ht="12" customHeight="1">
      <c r="B209" s="116">
        <v>219</v>
      </c>
      <c r="C209" s="187"/>
      <c r="D209" s="189" t="s">
        <v>149</v>
      </c>
      <c r="E209" s="185"/>
      <c r="F209" s="17">
        <f>+SUM(H209:H209)</f>
        <v>0</v>
      </c>
      <c r="G209" s="186"/>
      <c r="H209" s="17">
        <f>IFERROR(VLOOKUP(B209,Cargas!$B$3:$I$93,8,FALSE),0)</f>
        <v>0</v>
      </c>
      <c r="K209" s="116">
        <f t="shared" si="22"/>
        <v>0</v>
      </c>
      <c r="L209" s="6"/>
      <c r="M209" s="6"/>
      <c r="N209" s="4"/>
      <c r="W209" s="10">
        <f t="shared" si="20"/>
        <v>0</v>
      </c>
      <c r="X209" s="10">
        <f>+'MAYOR COLONES'!E247</f>
        <v>0</v>
      </c>
      <c r="Y209" s="10">
        <f t="shared" si="21"/>
        <v>0</v>
      </c>
    </row>
    <row r="210" spans="2:25" ht="12" customHeight="1">
      <c r="B210" s="116">
        <v>220</v>
      </c>
      <c r="C210" s="187"/>
      <c r="D210" s="189" t="s">
        <v>150</v>
      </c>
      <c r="E210" s="185"/>
      <c r="F210" s="17">
        <f t="shared" ref="F210:F276" si="23">+SUM(H210:H210)</f>
        <v>0</v>
      </c>
      <c r="G210" s="186"/>
      <c r="H210" s="17">
        <f>IFERROR(VLOOKUP(B210,Cargas!$B$3:$I$93,8,FALSE),0)</f>
        <v>0</v>
      </c>
      <c r="K210" s="116">
        <f t="shared" si="22"/>
        <v>0</v>
      </c>
      <c r="L210" s="6"/>
      <c r="M210" s="6"/>
      <c r="N210" s="4"/>
      <c r="W210" s="10">
        <f t="shared" si="20"/>
        <v>0</v>
      </c>
      <c r="X210" s="10">
        <f>+'MAYOR COLONES'!E250</f>
        <v>0</v>
      </c>
      <c r="Y210" s="10">
        <f t="shared" si="21"/>
        <v>0</v>
      </c>
    </row>
    <row r="211" spans="2:25" ht="12" customHeight="1">
      <c r="B211" s="116">
        <v>221</v>
      </c>
      <c r="C211" s="187"/>
      <c r="D211" s="189" t="s">
        <v>151</v>
      </c>
      <c r="E211" s="185"/>
      <c r="F211" s="17">
        <f t="shared" si="23"/>
        <v>0</v>
      </c>
      <c r="G211" s="186"/>
      <c r="H211" s="17">
        <f>IFERROR(VLOOKUP(B211,Cargas!$B$3:$I$93,8,FALSE),0)</f>
        <v>0</v>
      </c>
      <c r="K211" s="116">
        <f t="shared" si="22"/>
        <v>0</v>
      </c>
      <c r="L211" s="6"/>
      <c r="M211" s="6"/>
      <c r="N211" s="4"/>
      <c r="W211" s="10">
        <f t="shared" si="20"/>
        <v>0</v>
      </c>
      <c r="X211" s="10">
        <f>+'MAYOR COLONES'!E253</f>
        <v>0</v>
      </c>
      <c r="Y211" s="10">
        <f t="shared" si="21"/>
        <v>0</v>
      </c>
    </row>
    <row r="212" spans="2:25" s="2" customFormat="1">
      <c r="B212" s="116">
        <v>222</v>
      </c>
      <c r="C212" s="187"/>
      <c r="D212" s="180" t="s">
        <v>152</v>
      </c>
      <c r="E212" s="188"/>
      <c r="F212" s="18">
        <f>+SUM(H212:H212)</f>
        <v>0</v>
      </c>
      <c r="G212" s="17"/>
      <c r="H212" s="17">
        <f>IFERROR(VLOOKUP(B212,Cargas!$B$3:$I$93,8,FALSE),0)</f>
        <v>0</v>
      </c>
      <c r="I212" s="182"/>
      <c r="J212" s="183"/>
      <c r="K212" s="116">
        <f t="shared" si="22"/>
        <v>0</v>
      </c>
      <c r="L212" s="6"/>
      <c r="M212" s="6"/>
      <c r="N212" s="11"/>
      <c r="W212" s="10">
        <f t="shared" si="20"/>
        <v>0</v>
      </c>
      <c r="X212" s="10">
        <f>+'MAYOR COLONES'!E254</f>
        <v>0</v>
      </c>
      <c r="Y212" s="10">
        <f t="shared" si="21"/>
        <v>0</v>
      </c>
    </row>
    <row r="213" spans="2:25" s="2" customFormat="1" ht="12" customHeight="1">
      <c r="B213" s="116">
        <v>223</v>
      </c>
      <c r="C213" s="187"/>
      <c r="D213" s="189" t="s">
        <v>192</v>
      </c>
      <c r="E213" s="185"/>
      <c r="F213" s="17">
        <f t="shared" si="23"/>
        <v>0</v>
      </c>
      <c r="G213" s="186"/>
      <c r="H213" s="17">
        <f>IFERROR(VLOOKUP(B213,Cargas!$B$3:$I$93,8,FALSE),0)</f>
        <v>0</v>
      </c>
      <c r="I213" s="182"/>
      <c r="J213" s="183"/>
      <c r="K213" s="116">
        <f t="shared" si="22"/>
        <v>0</v>
      </c>
      <c r="L213" s="6"/>
      <c r="M213" s="6"/>
      <c r="N213" s="11"/>
      <c r="W213" s="10">
        <f t="shared" si="20"/>
        <v>0</v>
      </c>
      <c r="X213" s="10">
        <f>+'MAYOR COLONES'!E255</f>
        <v>0</v>
      </c>
      <c r="Y213" s="10">
        <f t="shared" si="21"/>
        <v>0</v>
      </c>
    </row>
    <row r="214" spans="2:25" ht="12" customHeight="1">
      <c r="B214" s="116">
        <v>224</v>
      </c>
      <c r="C214" s="187"/>
      <c r="D214" s="180" t="s">
        <v>193</v>
      </c>
      <c r="E214" s="188"/>
      <c r="F214" s="18">
        <f t="shared" si="23"/>
        <v>0</v>
      </c>
      <c r="G214" s="186"/>
      <c r="H214" s="17">
        <f>IFERROR(VLOOKUP(B214,Cargas!$B$3:$I$93,8,FALSE),0)</f>
        <v>0</v>
      </c>
      <c r="K214" s="116">
        <f t="shared" si="22"/>
        <v>0</v>
      </c>
      <c r="L214" s="6"/>
      <c r="M214" s="6"/>
      <c r="N214" s="4"/>
      <c r="W214" s="10">
        <f t="shared" si="20"/>
        <v>0</v>
      </c>
      <c r="X214" s="10">
        <f>+'MAYOR COLONES'!E256</f>
        <v>0</v>
      </c>
      <c r="Y214" s="10">
        <f t="shared" si="21"/>
        <v>0</v>
      </c>
    </row>
    <row r="215" spans="2:25">
      <c r="B215" s="116">
        <v>225</v>
      </c>
      <c r="C215" s="187"/>
      <c r="D215" s="180" t="s">
        <v>238</v>
      </c>
      <c r="E215" s="188"/>
      <c r="F215" s="17">
        <f t="shared" si="23"/>
        <v>0</v>
      </c>
      <c r="G215" s="186"/>
      <c r="H215" s="17">
        <f>IFERROR(VLOOKUP(B215,Cargas!$B$3:$I$93,8,FALSE),0)</f>
        <v>0</v>
      </c>
      <c r="K215" s="116">
        <f t="shared" si="22"/>
        <v>0</v>
      </c>
      <c r="L215" s="6"/>
      <c r="M215" s="6"/>
      <c r="N215" s="4"/>
      <c r="W215" s="10">
        <f t="shared" si="20"/>
        <v>0</v>
      </c>
      <c r="X215" s="10">
        <f>+'MAYOR COLONES'!E259</f>
        <v>0</v>
      </c>
      <c r="Y215" s="10">
        <f t="shared" si="21"/>
        <v>0</v>
      </c>
    </row>
    <row r="216" spans="2:25" ht="12" customHeight="1">
      <c r="B216" s="116">
        <v>226</v>
      </c>
      <c r="C216" s="187"/>
      <c r="D216" s="180" t="s">
        <v>194</v>
      </c>
      <c r="E216" s="188"/>
      <c r="F216" s="18">
        <f t="shared" si="23"/>
        <v>0</v>
      </c>
      <c r="G216" s="186"/>
      <c r="H216" s="17">
        <f>IFERROR(VLOOKUP(B216,Cargas!$B$3:$I$93,8,FALSE),0)</f>
        <v>0</v>
      </c>
      <c r="K216" s="116">
        <f t="shared" si="22"/>
        <v>0</v>
      </c>
      <c r="L216" s="6"/>
      <c r="M216" s="6"/>
      <c r="N216" s="4"/>
      <c r="W216" s="10">
        <f t="shared" si="20"/>
        <v>0</v>
      </c>
      <c r="X216" s="10">
        <f>+'MAYOR COLONES'!E262</f>
        <v>0</v>
      </c>
      <c r="Y216" s="10">
        <f t="shared" si="21"/>
        <v>0</v>
      </c>
    </row>
    <row r="217" spans="2:25">
      <c r="B217" s="116">
        <v>227</v>
      </c>
      <c r="C217" s="187"/>
      <c r="D217" s="189" t="s">
        <v>195</v>
      </c>
      <c r="E217" s="185"/>
      <c r="F217" s="17">
        <f t="shared" si="23"/>
        <v>0</v>
      </c>
      <c r="G217" s="186"/>
      <c r="H217" s="17">
        <f>IFERROR(VLOOKUP(B217,Cargas!$B$3:$I$93,8,FALSE),0)</f>
        <v>0</v>
      </c>
      <c r="K217" s="116">
        <f t="shared" si="22"/>
        <v>0</v>
      </c>
      <c r="L217" s="6"/>
      <c r="M217" s="6"/>
      <c r="N217" s="4"/>
      <c r="W217" s="10">
        <f t="shared" si="20"/>
        <v>0</v>
      </c>
      <c r="X217" s="10">
        <f>+'MAYOR COLONES'!E265</f>
        <v>0</v>
      </c>
      <c r="Y217" s="10">
        <f t="shared" si="21"/>
        <v>0</v>
      </c>
    </row>
    <row r="218" spans="2:25" ht="12" customHeight="1">
      <c r="B218" s="116">
        <v>228</v>
      </c>
      <c r="C218" s="187"/>
      <c r="D218" s="189" t="s">
        <v>196</v>
      </c>
      <c r="E218" s="185"/>
      <c r="F218" s="17">
        <f t="shared" si="23"/>
        <v>0</v>
      </c>
      <c r="G218" s="186"/>
      <c r="H218" s="17">
        <f>IFERROR(VLOOKUP(B218,Cargas!$B$3:$I$93,8,FALSE),0)</f>
        <v>0</v>
      </c>
      <c r="K218" s="116">
        <f t="shared" si="22"/>
        <v>0</v>
      </c>
      <c r="L218" s="6"/>
      <c r="M218" s="6"/>
      <c r="N218" s="4"/>
      <c r="W218" s="10">
        <f t="shared" ref="W218:W231" si="24">+F218</f>
        <v>0</v>
      </c>
      <c r="X218" s="10">
        <f>+'MAYOR COLONES'!E268</f>
        <v>0</v>
      </c>
      <c r="Y218" s="10">
        <f t="shared" ref="Y218:Y231" si="25">+X218+W218</f>
        <v>0</v>
      </c>
    </row>
    <row r="219" spans="2:25" ht="12" customHeight="1">
      <c r="B219" s="116">
        <v>229</v>
      </c>
      <c r="C219" s="187"/>
      <c r="D219" s="180" t="s">
        <v>197</v>
      </c>
      <c r="E219" s="188"/>
      <c r="F219" s="17">
        <f t="shared" si="23"/>
        <v>0</v>
      </c>
      <c r="G219" s="186"/>
      <c r="H219" s="17">
        <f>IFERROR(VLOOKUP(B219,Cargas!$B$3:$I$93,8,FALSE),0)</f>
        <v>0</v>
      </c>
      <c r="K219" s="116">
        <f t="shared" si="22"/>
        <v>0</v>
      </c>
      <c r="L219" s="6"/>
      <c r="M219" s="6"/>
      <c r="N219" s="4"/>
      <c r="W219" s="10">
        <f t="shared" si="24"/>
        <v>0</v>
      </c>
      <c r="X219" s="10">
        <f>+'MAYOR COLONES'!E276</f>
        <v>0</v>
      </c>
      <c r="Y219" s="10">
        <f t="shared" si="25"/>
        <v>0</v>
      </c>
    </row>
    <row r="220" spans="2:25" s="2" customFormat="1" ht="12" customHeight="1">
      <c r="B220" s="116">
        <v>230</v>
      </c>
      <c r="C220" s="187"/>
      <c r="D220" s="189" t="s">
        <v>198</v>
      </c>
      <c r="E220" s="185"/>
      <c r="F220" s="17">
        <f t="shared" si="23"/>
        <v>0</v>
      </c>
      <c r="G220" s="186"/>
      <c r="H220" s="17">
        <f>IFERROR(VLOOKUP(B220,Cargas!$B$3:$I$93,8,FALSE),0)</f>
        <v>0</v>
      </c>
      <c r="I220" s="182"/>
      <c r="J220" s="183"/>
      <c r="K220" s="116">
        <f t="shared" si="22"/>
        <v>0</v>
      </c>
      <c r="L220" s="6"/>
      <c r="M220" s="6"/>
      <c r="N220" s="11"/>
      <c r="W220" s="10">
        <f t="shared" si="24"/>
        <v>0</v>
      </c>
      <c r="X220" s="10">
        <f>+'MAYOR COLONES'!E277</f>
        <v>0</v>
      </c>
      <c r="Y220" s="10">
        <f t="shared" si="25"/>
        <v>0</v>
      </c>
    </row>
    <row r="221" spans="2:25" s="2" customFormat="1" ht="12" customHeight="1">
      <c r="B221" s="116">
        <v>231</v>
      </c>
      <c r="C221" s="187"/>
      <c r="D221" s="189" t="s">
        <v>199</v>
      </c>
      <c r="E221" s="185"/>
      <c r="F221" s="17">
        <f t="shared" si="23"/>
        <v>0</v>
      </c>
      <c r="G221" s="186"/>
      <c r="H221" s="17">
        <f>IFERROR(VLOOKUP(B221,Cargas!$B$3:$I$93,8,FALSE),0)</f>
        <v>0</v>
      </c>
      <c r="I221" s="182"/>
      <c r="J221" s="183"/>
      <c r="K221" s="116">
        <f t="shared" si="22"/>
        <v>0</v>
      </c>
      <c r="L221" s="6"/>
      <c r="M221" s="6"/>
      <c r="N221" s="11"/>
      <c r="W221" s="10">
        <f t="shared" si="24"/>
        <v>0</v>
      </c>
      <c r="X221" s="10">
        <f>+'MAYOR COLONES'!E278</f>
        <v>0</v>
      </c>
      <c r="Y221" s="10">
        <f t="shared" si="25"/>
        <v>0</v>
      </c>
    </row>
    <row r="222" spans="2:25" ht="12" customHeight="1">
      <c r="B222" s="116">
        <v>232</v>
      </c>
      <c r="C222" s="187"/>
      <c r="D222" s="180" t="s">
        <v>200</v>
      </c>
      <c r="E222" s="188"/>
      <c r="F222" s="18">
        <f>+SUM(H222:H222)</f>
        <v>0</v>
      </c>
      <c r="G222" s="17"/>
      <c r="H222" s="17">
        <f>IFERROR(VLOOKUP(B222,Cargas!$B$3:$I$93,8,FALSE),0)</f>
        <v>0</v>
      </c>
      <c r="K222" s="116">
        <f t="shared" si="22"/>
        <v>0</v>
      </c>
      <c r="L222" s="6"/>
      <c r="M222" s="6"/>
      <c r="N222" s="4"/>
      <c r="W222" s="10">
        <f t="shared" si="24"/>
        <v>0</v>
      </c>
      <c r="X222" s="10" t="e">
        <f>+'MAYOR COLONES'!#REF!</f>
        <v>#REF!</v>
      </c>
      <c r="Y222" s="10" t="e">
        <f t="shared" si="25"/>
        <v>#REF!</v>
      </c>
    </row>
    <row r="223" spans="2:25" ht="12" customHeight="1">
      <c r="B223" s="116">
        <v>233</v>
      </c>
      <c r="C223" s="187"/>
      <c r="D223" s="180" t="s">
        <v>201</v>
      </c>
      <c r="E223" s="188"/>
      <c r="F223" s="17">
        <f t="shared" si="23"/>
        <v>0</v>
      </c>
      <c r="G223" s="186"/>
      <c r="H223" s="17">
        <f>IFERROR(VLOOKUP(B223,Cargas!$B$3:$I$93,8,FALSE),0)</f>
        <v>0</v>
      </c>
      <c r="K223" s="116">
        <f t="shared" si="22"/>
        <v>0</v>
      </c>
      <c r="L223" s="6"/>
      <c r="M223" s="6"/>
      <c r="N223" s="4"/>
      <c r="W223" s="10">
        <f t="shared" si="24"/>
        <v>0</v>
      </c>
      <c r="X223" s="10" t="e">
        <f>+'MAYOR COLONES'!#REF!</f>
        <v>#REF!</v>
      </c>
      <c r="Y223" s="10" t="e">
        <f t="shared" si="25"/>
        <v>#REF!</v>
      </c>
    </row>
    <row r="224" spans="2:25" ht="12" customHeight="1">
      <c r="B224" s="116">
        <v>234</v>
      </c>
      <c r="C224" s="187"/>
      <c r="D224" s="189" t="s">
        <v>202</v>
      </c>
      <c r="E224" s="190"/>
      <c r="F224" s="17">
        <f t="shared" si="23"/>
        <v>0</v>
      </c>
      <c r="G224" s="19"/>
      <c r="H224" s="17">
        <f>IFERROR(VLOOKUP(B224,Cargas!$B$3:$I$93,8,FALSE),0)</f>
        <v>0</v>
      </c>
      <c r="K224" s="116">
        <f t="shared" si="22"/>
        <v>0</v>
      </c>
      <c r="L224" s="6"/>
      <c r="M224" s="6"/>
      <c r="N224" s="4"/>
      <c r="W224" s="10">
        <f t="shared" si="24"/>
        <v>0</v>
      </c>
      <c r="X224" s="10" t="e">
        <f>+'MAYOR COLONES'!#REF!</f>
        <v>#REF!</v>
      </c>
      <c r="Y224" s="10" t="e">
        <f t="shared" si="25"/>
        <v>#REF!</v>
      </c>
    </row>
    <row r="225" spans="2:25" s="2" customFormat="1">
      <c r="B225" s="116">
        <v>235</v>
      </c>
      <c r="C225" s="187"/>
      <c r="D225" s="180" t="s">
        <v>203</v>
      </c>
      <c r="E225" s="188"/>
      <c r="F225" s="17">
        <f t="shared" si="23"/>
        <v>0</v>
      </c>
      <c r="G225" s="186"/>
      <c r="H225" s="17">
        <f>IFERROR(VLOOKUP(B225,Cargas!$B$3:$I$93,8,FALSE),0)</f>
        <v>0</v>
      </c>
      <c r="I225" s="182"/>
      <c r="J225" s="183"/>
      <c r="K225" s="116">
        <f t="shared" si="22"/>
        <v>0</v>
      </c>
      <c r="L225" s="6"/>
      <c r="M225" s="6"/>
      <c r="N225" s="11"/>
      <c r="W225" s="10">
        <f t="shared" si="24"/>
        <v>0</v>
      </c>
      <c r="X225" s="10" t="e">
        <f>+'MAYOR COLONES'!#REF!</f>
        <v>#REF!</v>
      </c>
      <c r="Y225" s="10" t="e">
        <f t="shared" si="25"/>
        <v>#REF!</v>
      </c>
    </row>
    <row r="226" spans="2:25" s="2" customFormat="1">
      <c r="B226" s="116">
        <v>236</v>
      </c>
      <c r="C226" s="187"/>
      <c r="D226" s="180" t="s">
        <v>204</v>
      </c>
      <c r="E226" s="188"/>
      <c r="F226" s="18">
        <f>+SUM(H226:H226)</f>
        <v>0</v>
      </c>
      <c r="G226" s="17"/>
      <c r="H226" s="17">
        <f>IFERROR(VLOOKUP(B226,Cargas!$B$3:$I$93,8,FALSE),0)</f>
        <v>0</v>
      </c>
      <c r="I226" s="182"/>
      <c r="J226" s="183"/>
      <c r="K226" s="116">
        <f t="shared" si="22"/>
        <v>0</v>
      </c>
      <c r="L226" s="6"/>
      <c r="M226" s="6"/>
      <c r="N226" s="11"/>
      <c r="W226" s="10">
        <f t="shared" si="24"/>
        <v>0</v>
      </c>
      <c r="X226" s="10" t="e">
        <f>+'MAYOR COLONES'!#REF!</f>
        <v>#REF!</v>
      </c>
      <c r="Y226" s="10" t="e">
        <f t="shared" si="25"/>
        <v>#REF!</v>
      </c>
    </row>
    <row r="227" spans="2:25">
      <c r="B227" s="116">
        <v>237</v>
      </c>
      <c r="C227" s="187"/>
      <c r="D227" s="189" t="s">
        <v>239</v>
      </c>
      <c r="E227" s="185"/>
      <c r="F227" s="17">
        <f t="shared" si="23"/>
        <v>0</v>
      </c>
      <c r="G227" s="186"/>
      <c r="H227" s="17">
        <f>IFERROR(VLOOKUP(B227,Cargas!$B$3:$I$93,8,FALSE),0)</f>
        <v>0</v>
      </c>
      <c r="K227" s="116">
        <f t="shared" si="22"/>
        <v>0</v>
      </c>
      <c r="L227" s="6"/>
      <c r="M227" s="6"/>
      <c r="N227" s="4"/>
      <c r="W227" s="10">
        <f t="shared" si="24"/>
        <v>0</v>
      </c>
      <c r="X227" s="10" t="e">
        <f>+'MAYOR COLONES'!#REF!</f>
        <v>#REF!</v>
      </c>
      <c r="Y227" s="10" t="e">
        <f t="shared" si="25"/>
        <v>#REF!</v>
      </c>
    </row>
    <row r="228" spans="2:25" s="2" customFormat="1" ht="12" customHeight="1">
      <c r="B228" s="116">
        <v>238</v>
      </c>
      <c r="C228" s="187"/>
      <c r="D228" s="189" t="s">
        <v>240</v>
      </c>
      <c r="E228" s="185"/>
      <c r="F228" s="17">
        <f t="shared" si="23"/>
        <v>0</v>
      </c>
      <c r="G228" s="186"/>
      <c r="H228" s="17">
        <f>IFERROR(VLOOKUP(B228,Cargas!$B$3:$I$93,8,FALSE),0)</f>
        <v>0</v>
      </c>
      <c r="I228" s="182"/>
      <c r="J228" s="183"/>
      <c r="K228" s="116">
        <f t="shared" si="22"/>
        <v>0</v>
      </c>
      <c r="L228" s="6"/>
      <c r="M228" s="6"/>
      <c r="N228" s="11"/>
      <c r="W228" s="10">
        <f t="shared" si="24"/>
        <v>0</v>
      </c>
      <c r="X228" s="10" t="e">
        <f>+'MAYOR COLONES'!#REF!</f>
        <v>#REF!</v>
      </c>
      <c r="Y228" s="10" t="e">
        <f t="shared" si="25"/>
        <v>#REF!</v>
      </c>
    </row>
    <row r="229" spans="2:25" s="2" customFormat="1" ht="12" customHeight="1">
      <c r="B229" s="116">
        <v>239</v>
      </c>
      <c r="C229" s="187"/>
      <c r="D229" s="189" t="s">
        <v>205</v>
      </c>
      <c r="E229" s="185"/>
      <c r="F229" s="17">
        <f t="shared" si="23"/>
        <v>0</v>
      </c>
      <c r="G229" s="186"/>
      <c r="H229" s="17">
        <f>IFERROR(VLOOKUP(B229,Cargas!$B$3:$I$93,8,FALSE),0)</f>
        <v>0</v>
      </c>
      <c r="I229" s="182"/>
      <c r="J229" s="183"/>
      <c r="K229" s="116">
        <f t="shared" si="22"/>
        <v>0</v>
      </c>
      <c r="L229" s="6"/>
      <c r="M229" s="6"/>
      <c r="N229" s="11"/>
      <c r="W229" s="10">
        <f t="shared" si="24"/>
        <v>0</v>
      </c>
      <c r="X229" s="10" t="e">
        <f>+'MAYOR COLONES'!#REF!</f>
        <v>#REF!</v>
      </c>
      <c r="Y229" s="10" t="e">
        <f t="shared" si="25"/>
        <v>#REF!</v>
      </c>
    </row>
    <row r="230" spans="2:25" ht="12" customHeight="1">
      <c r="B230" s="116">
        <v>240</v>
      </c>
      <c r="C230" s="187"/>
      <c r="D230" s="189" t="s">
        <v>206</v>
      </c>
      <c r="E230" s="185"/>
      <c r="F230" s="17">
        <f t="shared" si="23"/>
        <v>0</v>
      </c>
      <c r="G230" s="186"/>
      <c r="H230" s="17">
        <f>IFERROR(VLOOKUP(B230,Cargas!$B$3:$I$93,8,FALSE),0)</f>
        <v>0</v>
      </c>
      <c r="K230" s="116">
        <f t="shared" si="22"/>
        <v>0</v>
      </c>
      <c r="L230" s="6"/>
      <c r="M230" s="6"/>
      <c r="N230" s="4"/>
      <c r="W230" s="10">
        <f t="shared" si="24"/>
        <v>0</v>
      </c>
      <c r="X230" s="10" t="e">
        <f>+'MAYOR COLONES'!#REF!</f>
        <v>#REF!</v>
      </c>
      <c r="Y230" s="10" t="e">
        <f t="shared" si="25"/>
        <v>#REF!</v>
      </c>
    </row>
    <row r="231" spans="2:25" ht="12" customHeight="1">
      <c r="B231" s="116">
        <v>241</v>
      </c>
      <c r="C231" s="187"/>
      <c r="D231" s="189" t="s">
        <v>223</v>
      </c>
      <c r="E231" s="185"/>
      <c r="F231" s="17">
        <f t="shared" si="23"/>
        <v>0</v>
      </c>
      <c r="G231" s="186"/>
      <c r="H231" s="17">
        <f>IFERROR(VLOOKUP(B231,Cargas!$B$3:$I$93,8,FALSE),0)</f>
        <v>0</v>
      </c>
      <c r="K231" s="116">
        <f t="shared" si="22"/>
        <v>0</v>
      </c>
      <c r="L231" s="6"/>
      <c r="M231" s="6"/>
      <c r="N231" s="4"/>
      <c r="W231" s="10">
        <f t="shared" si="24"/>
        <v>0</v>
      </c>
      <c r="X231" s="10" t="e">
        <f>+'MAYOR COLONES'!#REF!</f>
        <v>#REF!</v>
      </c>
      <c r="Y231" s="10" t="e">
        <f t="shared" si="25"/>
        <v>#REF!</v>
      </c>
    </row>
    <row r="232" spans="2:25" s="2" customFormat="1" ht="12" customHeight="1">
      <c r="B232" s="116">
        <v>242</v>
      </c>
      <c r="C232" s="187"/>
      <c r="D232" s="189" t="s">
        <v>263</v>
      </c>
      <c r="E232" s="185"/>
      <c r="F232" s="17">
        <f t="shared" si="23"/>
        <v>0</v>
      </c>
      <c r="G232" s="186"/>
      <c r="H232" s="17">
        <f>IFERROR(VLOOKUP(B232,Cargas!$B$3:$I$93,8,FALSE),0)</f>
        <v>0</v>
      </c>
      <c r="I232" s="182"/>
      <c r="J232" s="183"/>
      <c r="K232" s="116">
        <f t="shared" si="22"/>
        <v>0</v>
      </c>
      <c r="L232" s="6"/>
      <c r="M232" s="6"/>
      <c r="N232" s="11"/>
      <c r="W232" s="10"/>
      <c r="X232" s="10"/>
      <c r="Y232" s="10"/>
    </row>
    <row r="233" spans="2:25" s="2" customFormat="1" ht="12" customHeight="1">
      <c r="B233" s="116">
        <v>243</v>
      </c>
      <c r="C233" s="187"/>
      <c r="D233" s="189" t="s">
        <v>207</v>
      </c>
      <c r="E233" s="185"/>
      <c r="F233" s="17">
        <f t="shared" si="23"/>
        <v>0</v>
      </c>
      <c r="G233" s="186"/>
      <c r="H233" s="17">
        <f>IFERROR(VLOOKUP(B233,Cargas!$B$3:$I$93,8,FALSE),0)</f>
        <v>0</v>
      </c>
      <c r="I233" s="182"/>
      <c r="J233" s="183"/>
      <c r="K233" s="116">
        <f t="shared" si="22"/>
        <v>0</v>
      </c>
      <c r="L233" s="6"/>
      <c r="M233" s="6"/>
      <c r="N233" s="11"/>
      <c r="W233" s="10"/>
      <c r="X233" s="10"/>
      <c r="Y233" s="10"/>
    </row>
    <row r="234" spans="2:25" s="2" customFormat="1">
      <c r="B234" s="116">
        <v>244</v>
      </c>
      <c r="C234" s="187"/>
      <c r="D234" s="189" t="s">
        <v>208</v>
      </c>
      <c r="E234" s="185"/>
      <c r="F234" s="17">
        <f t="shared" si="23"/>
        <v>0</v>
      </c>
      <c r="G234" s="186"/>
      <c r="H234" s="17">
        <f>IFERROR(VLOOKUP(B234,Cargas!$B$3:$I$93,8,FALSE),0)</f>
        <v>0</v>
      </c>
      <c r="I234" s="182"/>
      <c r="J234" s="183"/>
      <c r="K234" s="116">
        <f t="shared" si="22"/>
        <v>0</v>
      </c>
      <c r="L234" s="6"/>
      <c r="M234" s="6"/>
      <c r="N234" s="11"/>
      <c r="W234" s="10"/>
      <c r="X234" s="10"/>
      <c r="Y234" s="10"/>
    </row>
    <row r="235" spans="2:25" s="2" customFormat="1" ht="12" customHeight="1">
      <c r="B235" s="116">
        <v>245</v>
      </c>
      <c r="C235" s="187"/>
      <c r="D235" s="180" t="s">
        <v>209</v>
      </c>
      <c r="E235" s="188"/>
      <c r="F235" s="18">
        <f>+SUM(H235:H235)</f>
        <v>0</v>
      </c>
      <c r="G235" s="17"/>
      <c r="H235" s="17">
        <f>IFERROR(VLOOKUP(B235,Cargas!$B$3:$I$93,8,FALSE),0)</f>
        <v>0</v>
      </c>
      <c r="I235" s="182"/>
      <c r="J235" s="183"/>
      <c r="K235" s="116">
        <f t="shared" si="22"/>
        <v>0</v>
      </c>
      <c r="L235" s="6"/>
      <c r="M235" s="6"/>
      <c r="N235" s="11"/>
      <c r="W235" s="10"/>
      <c r="X235" s="10"/>
      <c r="Y235" s="10"/>
    </row>
    <row r="236" spans="2:25" s="2" customFormat="1" ht="12" customHeight="1">
      <c r="B236" s="116">
        <v>246</v>
      </c>
      <c r="C236" s="187"/>
      <c r="D236" s="180" t="s">
        <v>210</v>
      </c>
      <c r="E236" s="188"/>
      <c r="F236" s="18">
        <f>+SUM(H236:H236)</f>
        <v>0</v>
      </c>
      <c r="G236" s="17"/>
      <c r="H236" s="17">
        <f>IFERROR(VLOOKUP(B236,Cargas!$B$3:$I$93,8,FALSE),0)</f>
        <v>0</v>
      </c>
      <c r="I236" s="182"/>
      <c r="J236" s="183"/>
      <c r="K236" s="116">
        <f t="shared" si="22"/>
        <v>0</v>
      </c>
      <c r="L236" s="6"/>
      <c r="M236" s="6"/>
      <c r="N236" s="11"/>
      <c r="W236" s="10"/>
      <c r="X236" s="10"/>
      <c r="Y236" s="10"/>
    </row>
    <row r="237" spans="2:25" s="2" customFormat="1" ht="12" customHeight="1">
      <c r="B237" s="116">
        <v>247</v>
      </c>
      <c r="C237" s="187"/>
      <c r="D237" s="189" t="s">
        <v>256</v>
      </c>
      <c r="E237" s="185"/>
      <c r="F237" s="17">
        <f t="shared" si="23"/>
        <v>0</v>
      </c>
      <c r="G237" s="186"/>
      <c r="H237" s="17">
        <f>IFERROR(VLOOKUP(B237,Cargas!$B$3:$I$93,8,FALSE),0)</f>
        <v>0</v>
      </c>
      <c r="I237" s="182"/>
      <c r="J237" s="183"/>
      <c r="K237" s="116">
        <f t="shared" si="22"/>
        <v>0</v>
      </c>
      <c r="L237" s="6"/>
      <c r="M237" s="6"/>
      <c r="N237" s="11"/>
      <c r="W237" s="10"/>
      <c r="X237" s="10"/>
      <c r="Y237" s="10"/>
    </row>
    <row r="238" spans="2:25" s="2" customFormat="1" ht="12" customHeight="1">
      <c r="B238" s="116">
        <v>248</v>
      </c>
      <c r="C238" s="187"/>
      <c r="D238" s="189" t="s">
        <v>257</v>
      </c>
      <c r="E238" s="185"/>
      <c r="F238" s="18">
        <f>+SUM(H238:H238)</f>
        <v>0</v>
      </c>
      <c r="G238" s="17"/>
      <c r="H238" s="17">
        <f>IFERROR(VLOOKUP(B238,Cargas!$B$3:$I$93,8,FALSE),0)</f>
        <v>0</v>
      </c>
      <c r="I238" s="182"/>
      <c r="J238" s="183"/>
      <c r="K238" s="116">
        <f t="shared" si="22"/>
        <v>0</v>
      </c>
      <c r="L238" s="6"/>
      <c r="M238" s="6"/>
      <c r="N238" s="11"/>
      <c r="W238" s="10"/>
      <c r="X238" s="10"/>
      <c r="Y238" s="10"/>
    </row>
    <row r="239" spans="2:25" s="2" customFormat="1">
      <c r="B239" s="116">
        <v>249</v>
      </c>
      <c r="C239" s="187"/>
      <c r="D239" s="180" t="s">
        <v>258</v>
      </c>
      <c r="E239" s="188"/>
      <c r="F239" s="18">
        <f>+SUM(H239:H239)</f>
        <v>0</v>
      </c>
      <c r="G239" s="17"/>
      <c r="H239" s="17">
        <f>IFERROR(VLOOKUP(B239,Cargas!$B$3:$I$93,8,FALSE),0)</f>
        <v>0</v>
      </c>
      <c r="I239" s="182"/>
      <c r="J239" s="183"/>
      <c r="K239" s="116">
        <f t="shared" si="22"/>
        <v>0</v>
      </c>
      <c r="L239" s="6"/>
      <c r="M239" s="6"/>
      <c r="N239" s="11"/>
      <c r="W239" s="10"/>
      <c r="X239" s="10"/>
      <c r="Y239" s="10"/>
    </row>
    <row r="240" spans="2:25" s="2" customFormat="1" ht="12" customHeight="1">
      <c r="B240" s="116">
        <v>250</v>
      </c>
      <c r="C240" s="187"/>
      <c r="D240" s="180" t="s">
        <v>259</v>
      </c>
      <c r="E240" s="188"/>
      <c r="F240" s="18">
        <f>+SUM(H240:H240)</f>
        <v>0</v>
      </c>
      <c r="G240" s="17"/>
      <c r="H240" s="17">
        <f>IFERROR(VLOOKUP(B240,Cargas!$B$3:$I$93,8,FALSE),0)</f>
        <v>0</v>
      </c>
      <c r="I240" s="182"/>
      <c r="J240" s="183"/>
      <c r="K240" s="116">
        <f t="shared" si="22"/>
        <v>0</v>
      </c>
      <c r="L240" s="6"/>
      <c r="M240" s="6"/>
      <c r="N240" s="11"/>
      <c r="W240" s="10"/>
      <c r="X240" s="10"/>
      <c r="Y240" s="10"/>
    </row>
    <row r="241" spans="2:25" s="2" customFormat="1" ht="12" customHeight="1">
      <c r="B241" s="116">
        <v>251</v>
      </c>
      <c r="C241" s="187"/>
      <c r="D241" s="180" t="s">
        <v>211</v>
      </c>
      <c r="E241" s="188"/>
      <c r="F241" s="17">
        <f t="shared" si="23"/>
        <v>0</v>
      </c>
      <c r="G241" s="186"/>
      <c r="H241" s="17">
        <f>IFERROR(VLOOKUP(B241,Cargas!$B$3:$I$93,8,FALSE),0)</f>
        <v>0</v>
      </c>
      <c r="I241" s="182"/>
      <c r="J241" s="183"/>
      <c r="K241" s="116">
        <f t="shared" si="22"/>
        <v>0</v>
      </c>
      <c r="L241" s="6"/>
      <c r="M241" s="6"/>
      <c r="N241" s="11"/>
      <c r="W241" s="10"/>
      <c r="X241" s="10"/>
      <c r="Y241" s="10"/>
    </row>
    <row r="242" spans="2:25" s="2" customFormat="1" ht="12" customHeight="1">
      <c r="B242" s="116">
        <v>252</v>
      </c>
      <c r="C242" s="187"/>
      <c r="D242" s="189" t="s">
        <v>212</v>
      </c>
      <c r="E242" s="185"/>
      <c r="F242" s="17">
        <f t="shared" si="23"/>
        <v>0</v>
      </c>
      <c r="G242" s="186"/>
      <c r="H242" s="17">
        <f>IFERROR(VLOOKUP(B242,Cargas!$B$3:$I$93,8,FALSE),0)</f>
        <v>0</v>
      </c>
      <c r="I242" s="182"/>
      <c r="J242" s="183"/>
      <c r="K242" s="116">
        <f t="shared" si="22"/>
        <v>0</v>
      </c>
      <c r="L242" s="6"/>
      <c r="M242" s="6"/>
      <c r="N242" s="11"/>
      <c r="W242" s="10"/>
      <c r="X242" s="10"/>
      <c r="Y242" s="10"/>
    </row>
    <row r="243" spans="2:25" s="2" customFormat="1" ht="12" customHeight="1">
      <c r="B243" s="116">
        <v>253</v>
      </c>
      <c r="C243" s="187"/>
      <c r="D243" s="189" t="s">
        <v>213</v>
      </c>
      <c r="E243" s="190"/>
      <c r="F243" s="17">
        <f t="shared" si="23"/>
        <v>0</v>
      </c>
      <c r="G243" s="19"/>
      <c r="H243" s="17">
        <f>IFERROR(VLOOKUP(B243,Cargas!$B$3:$I$93,8,FALSE),0)</f>
        <v>0</v>
      </c>
      <c r="I243" s="182"/>
      <c r="J243" s="183"/>
      <c r="K243" s="116">
        <f t="shared" si="22"/>
        <v>0</v>
      </c>
      <c r="L243" s="6"/>
      <c r="M243" s="6"/>
      <c r="N243" s="11"/>
      <c r="W243" s="10"/>
      <c r="X243" s="10"/>
      <c r="Y243" s="10"/>
    </row>
    <row r="244" spans="2:25" s="2" customFormat="1" ht="12" customHeight="1">
      <c r="B244" s="116">
        <v>254</v>
      </c>
      <c r="C244" s="187"/>
      <c r="D244" s="189" t="s">
        <v>214</v>
      </c>
      <c r="E244" s="185"/>
      <c r="F244" s="17">
        <f t="shared" si="23"/>
        <v>0</v>
      </c>
      <c r="G244" s="186"/>
      <c r="H244" s="17">
        <f>IFERROR(VLOOKUP(B244,Cargas!$B$3:$I$93,8,FALSE),0)</f>
        <v>0</v>
      </c>
      <c r="I244" s="182"/>
      <c r="J244" s="183"/>
      <c r="K244" s="116">
        <f t="shared" si="22"/>
        <v>0</v>
      </c>
      <c r="L244" s="6"/>
      <c r="M244" s="6"/>
      <c r="N244" s="11"/>
      <c r="W244" s="10"/>
      <c r="X244" s="10"/>
      <c r="Y244" s="10"/>
    </row>
    <row r="245" spans="2:25" s="2" customFormat="1" ht="12" customHeight="1">
      <c r="B245" s="116">
        <v>255</v>
      </c>
      <c r="C245" s="187"/>
      <c r="D245" s="189" t="s">
        <v>215</v>
      </c>
      <c r="E245" s="185"/>
      <c r="F245" s="17">
        <f t="shared" si="23"/>
        <v>0</v>
      </c>
      <c r="G245" s="186"/>
      <c r="H245" s="17">
        <f>IFERROR(VLOOKUP(B245,Cargas!$B$3:$I$93,8,FALSE),0)</f>
        <v>0</v>
      </c>
      <c r="I245" s="182"/>
      <c r="J245" s="183"/>
      <c r="K245" s="116">
        <f t="shared" si="22"/>
        <v>0</v>
      </c>
      <c r="L245" s="6"/>
      <c r="M245" s="6"/>
      <c r="N245" s="11"/>
      <c r="W245" s="10"/>
      <c r="X245" s="10"/>
      <c r="Y245" s="10"/>
    </row>
    <row r="246" spans="2:25" s="2" customFormat="1" ht="12" customHeight="1">
      <c r="B246" s="116">
        <v>256</v>
      </c>
      <c r="C246" s="187"/>
      <c r="D246" s="189" t="s">
        <v>216</v>
      </c>
      <c r="E246" s="185"/>
      <c r="F246" s="17">
        <f t="shared" si="23"/>
        <v>0</v>
      </c>
      <c r="G246" s="186"/>
      <c r="H246" s="17">
        <f>IFERROR(VLOOKUP(B246,Cargas!$B$3:$I$93,8,FALSE),0)</f>
        <v>0</v>
      </c>
      <c r="I246" s="182"/>
      <c r="J246" s="183"/>
      <c r="K246" s="116">
        <f t="shared" si="22"/>
        <v>0</v>
      </c>
      <c r="L246" s="6"/>
      <c r="M246" s="6"/>
      <c r="N246" s="11"/>
      <c r="W246" s="10"/>
      <c r="X246" s="10"/>
      <c r="Y246" s="10"/>
    </row>
    <row r="247" spans="2:25" s="2" customFormat="1" ht="12" customHeight="1">
      <c r="B247" s="116">
        <v>257</v>
      </c>
      <c r="C247" s="187"/>
      <c r="D247" s="189" t="s">
        <v>217</v>
      </c>
      <c r="E247" s="185"/>
      <c r="F247" s="18">
        <f>+SUM(H247:H247)</f>
        <v>0</v>
      </c>
      <c r="G247" s="17"/>
      <c r="H247" s="17">
        <f>IFERROR(VLOOKUP(B247,Cargas!$B$3:$I$93,8,FALSE),0)</f>
        <v>0</v>
      </c>
      <c r="I247" s="182"/>
      <c r="J247" s="183"/>
      <c r="K247" s="116">
        <f t="shared" si="22"/>
        <v>0</v>
      </c>
      <c r="L247" s="6"/>
      <c r="M247" s="6"/>
      <c r="N247" s="11"/>
      <c r="W247" s="10"/>
      <c r="X247" s="10"/>
      <c r="Y247" s="10"/>
    </row>
    <row r="248" spans="2:25" s="2" customFormat="1" ht="12" customHeight="1">
      <c r="B248" s="116">
        <v>258</v>
      </c>
      <c r="C248" s="187"/>
      <c r="D248" s="189" t="s">
        <v>218</v>
      </c>
      <c r="E248" s="185"/>
      <c r="F248" s="17">
        <f t="shared" si="23"/>
        <v>0</v>
      </c>
      <c r="G248" s="186"/>
      <c r="H248" s="17">
        <f>IFERROR(VLOOKUP(B248,Cargas!$B$3:$I$93,8,FALSE),0)</f>
        <v>0</v>
      </c>
      <c r="I248" s="182"/>
      <c r="J248" s="183"/>
      <c r="K248" s="116">
        <f t="shared" si="22"/>
        <v>0</v>
      </c>
      <c r="L248" s="6"/>
      <c r="M248" s="6"/>
      <c r="N248" s="11"/>
      <c r="W248" s="10"/>
      <c r="X248" s="10"/>
      <c r="Y248" s="10"/>
    </row>
    <row r="249" spans="2:25" s="2" customFormat="1">
      <c r="B249" s="116">
        <v>259</v>
      </c>
      <c r="C249" s="187"/>
      <c r="D249" s="180" t="s">
        <v>219</v>
      </c>
      <c r="E249" s="188"/>
      <c r="F249" s="18">
        <f>+SUM(H249:H249)</f>
        <v>0</v>
      </c>
      <c r="G249" s="17"/>
      <c r="H249" s="17">
        <f>IFERROR(VLOOKUP(B249,Cargas!$B$3:$I$93,8,FALSE),0)</f>
        <v>0</v>
      </c>
      <c r="I249" s="182"/>
      <c r="J249" s="183"/>
      <c r="K249" s="116">
        <f t="shared" si="22"/>
        <v>0</v>
      </c>
      <c r="L249" s="6"/>
      <c r="M249" s="6"/>
      <c r="N249" s="11"/>
      <c r="W249" s="10"/>
      <c r="X249" s="10"/>
      <c r="Y249" s="10"/>
    </row>
    <row r="250" spans="2:25" s="2" customFormat="1" ht="12" customHeight="1">
      <c r="B250" s="116">
        <v>260</v>
      </c>
      <c r="C250" s="187"/>
      <c r="D250" s="189" t="s">
        <v>220</v>
      </c>
      <c r="E250" s="185"/>
      <c r="F250" s="17">
        <f t="shared" si="23"/>
        <v>0</v>
      </c>
      <c r="G250" s="186"/>
      <c r="H250" s="17">
        <f>IFERROR(VLOOKUP(B250,Cargas!$B$3:$I$93,8,FALSE),0)</f>
        <v>0</v>
      </c>
      <c r="I250" s="182"/>
      <c r="J250" s="183"/>
      <c r="K250" s="116">
        <f t="shared" si="22"/>
        <v>0</v>
      </c>
      <c r="L250" s="6"/>
      <c r="M250" s="6"/>
      <c r="N250" s="11"/>
      <c r="W250" s="10"/>
      <c r="X250" s="10"/>
      <c r="Y250" s="10"/>
    </row>
    <row r="251" spans="2:25" s="2" customFormat="1">
      <c r="B251" s="116">
        <v>261</v>
      </c>
      <c r="C251" s="187"/>
      <c r="D251" s="180" t="s">
        <v>221</v>
      </c>
      <c r="E251" s="188"/>
      <c r="F251" s="17">
        <f t="shared" si="23"/>
        <v>0</v>
      </c>
      <c r="G251" s="186"/>
      <c r="H251" s="17">
        <f>IFERROR(VLOOKUP(B251,Cargas!$B$3:$I$93,8,FALSE),0)</f>
        <v>0</v>
      </c>
      <c r="I251" s="182"/>
      <c r="J251" s="183"/>
      <c r="K251" s="116">
        <f t="shared" si="22"/>
        <v>0</v>
      </c>
      <c r="L251" s="6"/>
      <c r="M251" s="6"/>
      <c r="N251" s="11"/>
      <c r="W251" s="10"/>
      <c r="X251" s="10"/>
      <c r="Y251" s="10"/>
    </row>
    <row r="252" spans="2:25" s="2" customFormat="1">
      <c r="B252" s="116">
        <v>262</v>
      </c>
      <c r="C252" s="187"/>
      <c r="D252" s="180" t="s">
        <v>222</v>
      </c>
      <c r="E252" s="188"/>
      <c r="F252" s="17">
        <f t="shared" si="23"/>
        <v>0</v>
      </c>
      <c r="G252" s="186"/>
      <c r="H252" s="17">
        <f>IFERROR(VLOOKUP(B252,Cargas!$B$3:$I$93,8,FALSE),0)</f>
        <v>0</v>
      </c>
      <c r="I252" s="182"/>
      <c r="J252" s="183"/>
      <c r="K252" s="116">
        <f t="shared" si="22"/>
        <v>0</v>
      </c>
      <c r="L252" s="6"/>
      <c r="M252" s="6"/>
      <c r="N252" s="11"/>
      <c r="W252" s="10"/>
      <c r="X252" s="10"/>
      <c r="Y252" s="10"/>
    </row>
    <row r="253" spans="2:25" s="2" customFormat="1">
      <c r="B253" s="116">
        <v>263</v>
      </c>
      <c r="C253" s="187"/>
      <c r="D253" s="177" t="s">
        <v>264</v>
      </c>
      <c r="E253" s="185"/>
      <c r="F253" s="18">
        <f t="shared" si="23"/>
        <v>0</v>
      </c>
      <c r="G253" s="17"/>
      <c r="H253" s="17">
        <f>IFERROR(VLOOKUP(B253,Cargas!$B$3:$I$93,8,FALSE),0)</f>
        <v>0</v>
      </c>
      <c r="I253" s="182"/>
      <c r="J253" s="183"/>
      <c r="K253" s="116">
        <f t="shared" si="22"/>
        <v>0</v>
      </c>
      <c r="L253" s="6"/>
      <c r="M253" s="6"/>
      <c r="N253" s="11"/>
      <c r="W253" s="10"/>
      <c r="X253" s="10"/>
      <c r="Y253" s="10"/>
    </row>
    <row r="254" spans="2:25" s="2" customFormat="1">
      <c r="B254" s="116">
        <v>264</v>
      </c>
      <c r="C254" s="187"/>
      <c r="D254" s="177" t="s">
        <v>265</v>
      </c>
      <c r="E254" s="185"/>
      <c r="F254" s="17">
        <f t="shared" si="23"/>
        <v>0</v>
      </c>
      <c r="G254" s="186"/>
      <c r="H254" s="17">
        <f>IFERROR(VLOOKUP(B254,Cargas!$B$3:$I$93,8,FALSE),0)</f>
        <v>0</v>
      </c>
      <c r="I254" s="182"/>
      <c r="J254" s="183"/>
      <c r="K254" s="116">
        <f t="shared" si="22"/>
        <v>0</v>
      </c>
      <c r="L254" s="6"/>
      <c r="M254" s="6"/>
      <c r="N254" s="11"/>
      <c r="W254" s="10"/>
      <c r="X254" s="10"/>
      <c r="Y254" s="10"/>
    </row>
    <row r="255" spans="2:25" s="2" customFormat="1" ht="12" customHeight="1">
      <c r="B255" s="116">
        <v>265</v>
      </c>
      <c r="C255" s="187"/>
      <c r="D255" s="177" t="s">
        <v>266</v>
      </c>
      <c r="E255" s="185"/>
      <c r="F255" s="17">
        <f t="shared" si="23"/>
        <v>0</v>
      </c>
      <c r="G255" s="186"/>
      <c r="H255" s="17">
        <f>IFERROR(VLOOKUP(B255,Cargas!$B$3:$I$93,8,FALSE),0)</f>
        <v>0</v>
      </c>
      <c r="I255" s="182"/>
      <c r="J255" s="183"/>
      <c r="K255" s="116">
        <f t="shared" si="22"/>
        <v>0</v>
      </c>
      <c r="L255" s="6"/>
      <c r="M255" s="6"/>
      <c r="N255" s="11"/>
      <c r="W255" s="10"/>
      <c r="X255" s="10"/>
      <c r="Y255" s="10"/>
    </row>
    <row r="256" spans="2:25" s="2" customFormat="1" ht="12" customHeight="1">
      <c r="B256" s="116">
        <v>266</v>
      </c>
      <c r="C256" s="187"/>
      <c r="D256" s="177" t="s">
        <v>267</v>
      </c>
      <c r="E256" s="185"/>
      <c r="F256" s="17">
        <f t="shared" si="23"/>
        <v>0</v>
      </c>
      <c r="G256" s="186"/>
      <c r="H256" s="17">
        <f>IFERROR(VLOOKUP(B256,Cargas!$B$3:$I$93,8,FALSE),0)</f>
        <v>0</v>
      </c>
      <c r="I256" s="182"/>
      <c r="J256" s="183"/>
      <c r="K256" s="116">
        <f t="shared" si="22"/>
        <v>0</v>
      </c>
      <c r="L256" s="6"/>
      <c r="M256" s="6"/>
      <c r="N256" s="11"/>
      <c r="W256" s="10"/>
      <c r="X256" s="10"/>
      <c r="Y256" s="10"/>
    </row>
    <row r="257" spans="2:25" s="2" customFormat="1">
      <c r="B257" s="116">
        <v>267</v>
      </c>
      <c r="C257" s="187"/>
      <c r="D257" s="177" t="s">
        <v>268</v>
      </c>
      <c r="E257" s="185"/>
      <c r="F257" s="18">
        <f>+SUM(H257:H257)</f>
        <v>0</v>
      </c>
      <c r="G257" s="17"/>
      <c r="H257" s="17">
        <f>IFERROR(VLOOKUP(B257,Cargas!$B$3:$I$93,8,FALSE),0)</f>
        <v>0</v>
      </c>
      <c r="I257" s="182"/>
      <c r="J257" s="183"/>
      <c r="K257" s="116">
        <f t="shared" si="22"/>
        <v>0</v>
      </c>
      <c r="L257" s="6"/>
      <c r="M257" s="6"/>
      <c r="N257" s="11"/>
      <c r="W257" s="10"/>
      <c r="X257" s="10"/>
      <c r="Y257" s="10"/>
    </row>
    <row r="258" spans="2:25" s="2" customFormat="1">
      <c r="B258" s="116">
        <v>268</v>
      </c>
      <c r="C258" s="187"/>
      <c r="D258" s="177" t="s">
        <v>269</v>
      </c>
      <c r="E258" s="185"/>
      <c r="F258" s="18">
        <f>+SUM(H258:H258)</f>
        <v>0</v>
      </c>
      <c r="G258" s="17"/>
      <c r="H258" s="17">
        <f>IFERROR(VLOOKUP(B258,Cargas!$B$3:$I$93,8,FALSE),0)</f>
        <v>0</v>
      </c>
      <c r="I258" s="182"/>
      <c r="J258" s="183"/>
      <c r="K258" s="116">
        <f t="shared" si="22"/>
        <v>0</v>
      </c>
      <c r="L258" s="6"/>
      <c r="M258" s="6"/>
      <c r="N258" s="11"/>
      <c r="W258" s="10"/>
      <c r="X258" s="10"/>
      <c r="Y258" s="10"/>
    </row>
    <row r="259" spans="2:25" s="2" customFormat="1" ht="12" customHeight="1">
      <c r="B259" s="116">
        <v>269</v>
      </c>
      <c r="C259" s="187"/>
      <c r="D259" s="177" t="s">
        <v>270</v>
      </c>
      <c r="E259" s="185"/>
      <c r="F259" s="17">
        <f t="shared" si="23"/>
        <v>0</v>
      </c>
      <c r="G259" s="186"/>
      <c r="H259" s="17">
        <f>IFERROR(VLOOKUP(B259,Cargas!$B$3:$I$93,8,FALSE),0)</f>
        <v>0</v>
      </c>
      <c r="I259" s="182"/>
      <c r="J259" s="183"/>
      <c r="K259" s="116">
        <f t="shared" si="22"/>
        <v>0</v>
      </c>
      <c r="L259" s="6"/>
      <c r="M259" s="6"/>
      <c r="N259" s="11"/>
      <c r="W259" s="10"/>
      <c r="X259" s="10"/>
      <c r="Y259" s="10"/>
    </row>
    <row r="260" spans="2:25" s="2" customFormat="1">
      <c r="B260" s="116">
        <v>270</v>
      </c>
      <c r="C260" s="187"/>
      <c r="D260" s="177" t="s">
        <v>271</v>
      </c>
      <c r="E260" s="185"/>
      <c r="F260" s="17">
        <f t="shared" si="23"/>
        <v>0</v>
      </c>
      <c r="G260" s="186"/>
      <c r="H260" s="17">
        <f>IFERROR(VLOOKUP(B260,Cargas!$B$3:$I$93,8,FALSE),0)</f>
        <v>0</v>
      </c>
      <c r="I260" s="182"/>
      <c r="J260" s="183"/>
      <c r="K260" s="116">
        <f t="shared" si="22"/>
        <v>0</v>
      </c>
      <c r="L260" s="6"/>
      <c r="M260" s="6"/>
      <c r="N260" s="11"/>
      <c r="W260" s="10"/>
      <c r="X260" s="10"/>
      <c r="Y260" s="10"/>
    </row>
    <row r="261" spans="2:25" s="2" customFormat="1" ht="12" customHeight="1">
      <c r="B261" s="116">
        <v>271</v>
      </c>
      <c r="C261" s="187"/>
      <c r="D261" s="177" t="s">
        <v>272</v>
      </c>
      <c r="E261" s="185"/>
      <c r="F261" s="17">
        <f t="shared" si="23"/>
        <v>0</v>
      </c>
      <c r="G261" s="186"/>
      <c r="H261" s="17">
        <f>IFERROR(VLOOKUP(B261,Cargas!$B$3:$I$93,8,FALSE),0)</f>
        <v>0</v>
      </c>
      <c r="I261" s="182"/>
      <c r="J261" s="183"/>
      <c r="K261" s="116">
        <f t="shared" si="22"/>
        <v>0</v>
      </c>
      <c r="L261" s="6"/>
      <c r="M261" s="6"/>
      <c r="N261" s="11"/>
      <c r="W261" s="10"/>
      <c r="X261" s="10"/>
      <c r="Y261" s="10"/>
    </row>
    <row r="262" spans="2:25" s="2" customFormat="1" ht="12" customHeight="1">
      <c r="B262" s="116">
        <v>272</v>
      </c>
      <c r="C262" s="187"/>
      <c r="D262" s="177" t="s">
        <v>273</v>
      </c>
      <c r="E262" s="185"/>
      <c r="F262" s="17">
        <f t="shared" si="23"/>
        <v>0</v>
      </c>
      <c r="G262" s="186"/>
      <c r="H262" s="17">
        <f>IFERROR(VLOOKUP(B262,Cargas!$B$3:$I$93,8,FALSE),0)</f>
        <v>0</v>
      </c>
      <c r="I262" s="182"/>
      <c r="J262" s="183"/>
      <c r="K262" s="116">
        <f t="shared" si="22"/>
        <v>0</v>
      </c>
      <c r="L262" s="6"/>
      <c r="M262" s="6"/>
      <c r="N262" s="11"/>
      <c r="W262" s="10"/>
      <c r="X262" s="10"/>
      <c r="Y262" s="10"/>
    </row>
    <row r="263" spans="2:25" s="2" customFormat="1" ht="12" customHeight="1">
      <c r="B263" s="116">
        <v>273</v>
      </c>
      <c r="C263" s="187"/>
      <c r="D263" s="177" t="s">
        <v>274</v>
      </c>
      <c r="E263" s="185"/>
      <c r="F263" s="17">
        <f t="shared" si="23"/>
        <v>0</v>
      </c>
      <c r="G263" s="186"/>
      <c r="H263" s="17">
        <f>IFERROR(VLOOKUP(B263,Cargas!$B$3:$I$93,8,FALSE),0)</f>
        <v>0</v>
      </c>
      <c r="I263" s="182"/>
      <c r="J263" s="183"/>
      <c r="K263" s="116">
        <f t="shared" si="22"/>
        <v>0</v>
      </c>
      <c r="L263" s="6"/>
      <c r="M263" s="6"/>
      <c r="N263" s="11"/>
      <c r="W263" s="10"/>
      <c r="X263" s="10"/>
      <c r="Y263" s="10"/>
    </row>
    <row r="264" spans="2:25" s="2" customFormat="1" ht="12" customHeight="1">
      <c r="B264" s="116">
        <v>274</v>
      </c>
      <c r="C264" s="187"/>
      <c r="D264" s="177" t="s">
        <v>276</v>
      </c>
      <c r="E264" s="185"/>
      <c r="F264" s="17">
        <f t="shared" si="23"/>
        <v>0</v>
      </c>
      <c r="G264" s="186"/>
      <c r="H264" s="17">
        <f>IFERROR(VLOOKUP(B264,Cargas!$B$3:$I$93,8,FALSE),0)</f>
        <v>0</v>
      </c>
      <c r="I264" s="182"/>
      <c r="J264" s="183"/>
      <c r="K264" s="116">
        <f t="shared" si="22"/>
        <v>0</v>
      </c>
      <c r="L264" s="6"/>
      <c r="M264" s="6"/>
      <c r="N264" s="11"/>
      <c r="W264" s="10"/>
      <c r="X264" s="10"/>
      <c r="Y264" s="10"/>
    </row>
    <row r="265" spans="2:25" s="2" customFormat="1">
      <c r="B265" s="116">
        <v>275</v>
      </c>
      <c r="C265" s="187"/>
      <c r="D265" s="177" t="s">
        <v>277</v>
      </c>
      <c r="E265" s="185"/>
      <c r="F265" s="17">
        <f t="shared" si="23"/>
        <v>0</v>
      </c>
      <c r="G265" s="186"/>
      <c r="H265" s="17">
        <f>IFERROR(VLOOKUP(B265,Cargas!$B$3:$I$93,8,FALSE),0)</f>
        <v>0</v>
      </c>
      <c r="I265" s="182"/>
      <c r="J265" s="183"/>
      <c r="K265" s="116">
        <f t="shared" si="22"/>
        <v>0</v>
      </c>
      <c r="L265" s="6"/>
      <c r="M265" s="6"/>
      <c r="N265" s="11"/>
      <c r="W265" s="10"/>
      <c r="X265" s="10"/>
      <c r="Y265" s="10"/>
    </row>
    <row r="266" spans="2:25" s="2" customFormat="1">
      <c r="B266" s="116">
        <v>276</v>
      </c>
      <c r="C266" s="187"/>
      <c r="D266" s="177" t="s">
        <v>278</v>
      </c>
      <c r="E266" s="185"/>
      <c r="F266" s="18">
        <f>+SUM(H266:H266)</f>
        <v>0</v>
      </c>
      <c r="G266" s="17"/>
      <c r="H266" s="17">
        <f>IFERROR(VLOOKUP(B266,Cargas!$B$3:$I$93,8,FALSE),0)</f>
        <v>0</v>
      </c>
      <c r="I266" s="182"/>
      <c r="J266" s="183"/>
      <c r="K266" s="116">
        <f t="shared" si="22"/>
        <v>0</v>
      </c>
      <c r="L266" s="6"/>
      <c r="M266" s="6"/>
      <c r="N266" s="11"/>
      <c r="W266" s="10"/>
      <c r="X266" s="10"/>
      <c r="Y266" s="10"/>
    </row>
    <row r="267" spans="2:25" s="2" customFormat="1" ht="12" customHeight="1">
      <c r="B267" s="116">
        <v>277</v>
      </c>
      <c r="C267" s="187"/>
      <c r="D267" s="177" t="s">
        <v>279</v>
      </c>
      <c r="E267" s="185"/>
      <c r="F267" s="17">
        <f t="shared" si="23"/>
        <v>0</v>
      </c>
      <c r="G267" s="17"/>
      <c r="H267" s="17">
        <f>IFERROR(VLOOKUP(B267,Cargas!$B$3:$I$93,8,FALSE),0)</f>
        <v>0</v>
      </c>
      <c r="I267" s="182"/>
      <c r="J267" s="183"/>
      <c r="K267" s="116">
        <f t="shared" si="22"/>
        <v>0</v>
      </c>
      <c r="L267" s="6"/>
      <c r="M267" s="6"/>
      <c r="N267" s="11"/>
      <c r="W267" s="10"/>
      <c r="X267" s="10"/>
      <c r="Y267" s="10"/>
    </row>
    <row r="268" spans="2:25" s="2" customFormat="1" ht="12" customHeight="1">
      <c r="B268" s="116">
        <v>278</v>
      </c>
      <c r="C268" s="187"/>
      <c r="D268" s="177" t="s">
        <v>280</v>
      </c>
      <c r="E268" s="185"/>
      <c r="F268" s="17">
        <f t="shared" si="23"/>
        <v>0</v>
      </c>
      <c r="G268" s="17"/>
      <c r="H268" s="17">
        <f>IFERROR(VLOOKUP(B268,Cargas!$B$3:$I$93,8,FALSE),0)</f>
        <v>0</v>
      </c>
      <c r="I268" s="182"/>
      <c r="J268" s="183"/>
      <c r="K268" s="116">
        <f t="shared" si="22"/>
        <v>0</v>
      </c>
      <c r="L268" s="6"/>
      <c r="M268" s="6"/>
      <c r="N268" s="11"/>
      <c r="W268" s="10"/>
      <c r="X268" s="10"/>
      <c r="Y268" s="10"/>
    </row>
    <row r="269" spans="2:25" s="2" customFormat="1">
      <c r="B269" s="116">
        <v>279</v>
      </c>
      <c r="C269" s="187"/>
      <c r="D269" s="177">
        <v>279</v>
      </c>
      <c r="E269" s="185"/>
      <c r="F269" s="17">
        <f t="shared" si="23"/>
        <v>0</v>
      </c>
      <c r="G269" s="186"/>
      <c r="H269" s="17">
        <f>IFERROR(VLOOKUP(B269,Cargas!$B$3:$I$93,8,FALSE),0)</f>
        <v>0</v>
      </c>
      <c r="I269" s="182"/>
      <c r="J269" s="183"/>
      <c r="K269" s="116">
        <f t="shared" si="22"/>
        <v>0</v>
      </c>
      <c r="L269" s="6"/>
      <c r="M269" s="6"/>
      <c r="N269" s="11"/>
      <c r="W269" s="10"/>
      <c r="X269" s="10"/>
      <c r="Y269" s="10"/>
    </row>
    <row r="270" spans="2:25" s="2" customFormat="1">
      <c r="B270" s="116">
        <v>280</v>
      </c>
      <c r="C270" s="187"/>
      <c r="D270" s="177">
        <v>280</v>
      </c>
      <c r="E270" s="185"/>
      <c r="F270" s="17">
        <f t="shared" si="23"/>
        <v>0</v>
      </c>
      <c r="G270" s="186"/>
      <c r="H270" s="17">
        <f>IFERROR(VLOOKUP(B270,Cargas!$B$3:$I$93,8,FALSE),0)</f>
        <v>0</v>
      </c>
      <c r="I270" s="182"/>
      <c r="J270" s="183"/>
      <c r="K270" s="116">
        <f t="shared" si="22"/>
        <v>0</v>
      </c>
      <c r="L270" s="6"/>
      <c r="M270" s="6"/>
      <c r="N270" s="11"/>
      <c r="W270" s="10"/>
      <c r="X270" s="10"/>
      <c r="Y270" s="10"/>
    </row>
    <row r="271" spans="2:25" s="2" customFormat="1">
      <c r="B271" s="116">
        <v>282</v>
      </c>
      <c r="C271" s="187"/>
      <c r="D271" s="177">
        <v>282</v>
      </c>
      <c r="E271" s="185"/>
      <c r="F271" s="17">
        <f t="shared" si="23"/>
        <v>0</v>
      </c>
      <c r="G271" s="186"/>
      <c r="H271" s="17">
        <f>IFERROR(VLOOKUP(B271,Cargas!$B$3:$I$93,8,FALSE),0)</f>
        <v>0</v>
      </c>
      <c r="I271" s="182"/>
      <c r="J271" s="183"/>
      <c r="K271" s="116">
        <f t="shared" ref="K271:K334" si="26">+F271/$K$9</f>
        <v>0</v>
      </c>
      <c r="L271" s="6"/>
      <c r="M271" s="6"/>
      <c r="N271" s="11"/>
      <c r="W271" s="10"/>
      <c r="X271" s="10"/>
      <c r="Y271" s="10"/>
    </row>
    <row r="272" spans="2:25" s="2" customFormat="1">
      <c r="B272" s="116">
        <v>283</v>
      </c>
      <c r="C272" s="187"/>
      <c r="D272" s="177">
        <v>283</v>
      </c>
      <c r="E272" s="185"/>
      <c r="F272" s="17">
        <f t="shared" si="23"/>
        <v>0</v>
      </c>
      <c r="G272" s="186"/>
      <c r="H272" s="17">
        <f>IFERROR(VLOOKUP(B272,Cargas!$B$3:$I$93,8,FALSE),0)</f>
        <v>0</v>
      </c>
      <c r="I272" s="182"/>
      <c r="J272" s="183"/>
      <c r="K272" s="116">
        <f t="shared" si="26"/>
        <v>0</v>
      </c>
      <c r="L272" s="6"/>
      <c r="M272" s="6"/>
      <c r="N272" s="11"/>
      <c r="W272" s="10"/>
      <c r="X272" s="10"/>
      <c r="Y272" s="10"/>
    </row>
    <row r="273" spans="2:26" s="2" customFormat="1" ht="12" customHeight="1">
      <c r="B273" s="116">
        <v>286</v>
      </c>
      <c r="C273" s="187"/>
      <c r="D273" s="177" t="s">
        <v>288</v>
      </c>
      <c r="E273" s="185"/>
      <c r="F273" s="17">
        <f t="shared" si="23"/>
        <v>0</v>
      </c>
      <c r="G273" s="186"/>
      <c r="H273" s="17">
        <f>IFERROR(VLOOKUP(B273,Cargas!$B$3:$I$93,8,FALSE),0)</f>
        <v>0</v>
      </c>
      <c r="I273" s="182"/>
      <c r="J273" s="183"/>
      <c r="K273" s="116">
        <f t="shared" si="26"/>
        <v>0</v>
      </c>
      <c r="L273" s="6"/>
      <c r="M273" s="6"/>
      <c r="N273" s="11"/>
      <c r="W273" s="10"/>
      <c r="X273" s="10"/>
      <c r="Y273" s="10"/>
    </row>
    <row r="274" spans="2:26" s="2" customFormat="1" ht="12" customHeight="1">
      <c r="B274" s="116">
        <v>290</v>
      </c>
      <c r="C274" s="187"/>
      <c r="D274" s="177">
        <v>290</v>
      </c>
      <c r="E274" s="185"/>
      <c r="F274" s="17">
        <f>+SUM(H274:H274)</f>
        <v>0</v>
      </c>
      <c r="G274" s="186"/>
      <c r="H274" s="17">
        <f>IFERROR(VLOOKUP(B274,Cargas!$B$3:$I$93,8,FALSE),0)</f>
        <v>0</v>
      </c>
      <c r="I274" s="182"/>
      <c r="J274" s="183"/>
      <c r="K274" s="116">
        <f t="shared" si="26"/>
        <v>0</v>
      </c>
      <c r="L274" s="6"/>
      <c r="M274" s="6"/>
      <c r="N274" s="11"/>
      <c r="W274" s="10"/>
      <c r="X274" s="10"/>
      <c r="Y274" s="10"/>
    </row>
    <row r="275" spans="2:26" s="2" customFormat="1">
      <c r="B275" s="116">
        <v>291</v>
      </c>
      <c r="C275" s="187"/>
      <c r="D275" s="177">
        <v>291</v>
      </c>
      <c r="E275" s="185"/>
      <c r="F275" s="17">
        <f>+SUM(H275:H275)</f>
        <v>0</v>
      </c>
      <c r="G275" s="186"/>
      <c r="H275" s="17">
        <f>IFERROR(VLOOKUP(B275,Cargas!$B$3:$I$93,8,FALSE),0)</f>
        <v>0</v>
      </c>
      <c r="I275" s="182"/>
      <c r="J275" s="183"/>
      <c r="K275" s="116">
        <f t="shared" si="26"/>
        <v>0</v>
      </c>
      <c r="L275" s="6"/>
      <c r="M275" s="6"/>
      <c r="N275" s="11"/>
      <c r="W275" s="10"/>
      <c r="X275" s="10"/>
      <c r="Y275" s="10"/>
    </row>
    <row r="276" spans="2:26" s="2" customFormat="1">
      <c r="B276" s="116">
        <v>292</v>
      </c>
      <c r="C276" s="187"/>
      <c r="D276" s="180" t="s">
        <v>284</v>
      </c>
      <c r="E276" s="188"/>
      <c r="F276" s="17">
        <f t="shared" si="23"/>
        <v>0</v>
      </c>
      <c r="G276" s="186"/>
      <c r="H276" s="17">
        <f>IFERROR(VLOOKUP(B276,Cargas!$B$3:$I$93,8,FALSE),0)</f>
        <v>0</v>
      </c>
      <c r="I276" s="182"/>
      <c r="J276" s="183"/>
      <c r="K276" s="116">
        <f t="shared" si="26"/>
        <v>0</v>
      </c>
      <c r="L276" s="6"/>
      <c r="M276" s="6"/>
      <c r="N276" s="11"/>
      <c r="W276" s="10"/>
      <c r="X276" s="10"/>
      <c r="Y276" s="10"/>
    </row>
    <row r="277" spans="2:26" s="2" customFormat="1">
      <c r="B277" s="116">
        <v>293</v>
      </c>
      <c r="C277" s="187"/>
      <c r="D277" s="180" t="s">
        <v>293</v>
      </c>
      <c r="E277" s="188"/>
      <c r="F277" s="17">
        <f>+SUM(H277:H277)</f>
        <v>0</v>
      </c>
      <c r="G277" s="186"/>
      <c r="H277" s="17">
        <f>IFERROR(VLOOKUP(B277,Cargas!$B$3:$I$93,8,FALSE),0)</f>
        <v>0</v>
      </c>
      <c r="I277" s="182"/>
      <c r="J277" s="183"/>
      <c r="K277" s="116">
        <f t="shared" si="26"/>
        <v>0</v>
      </c>
      <c r="L277" s="6"/>
      <c r="M277" s="6"/>
      <c r="N277" s="11"/>
      <c r="W277" s="10"/>
      <c r="X277" s="10"/>
      <c r="Y277" s="10"/>
    </row>
    <row r="278" spans="2:26" s="15" customFormat="1">
      <c r="B278" s="116" t="s">
        <v>299</v>
      </c>
      <c r="C278" s="130" t="s">
        <v>285</v>
      </c>
      <c r="D278" s="12" t="s">
        <v>52</v>
      </c>
      <c r="E278" s="191"/>
      <c r="F278" s="192">
        <f>SUM(F15:F277)</f>
        <v>0</v>
      </c>
      <c r="G278" s="193"/>
      <c r="H278" s="192"/>
      <c r="I278" s="194"/>
      <c r="J278" s="195"/>
      <c r="K278" s="116">
        <f t="shared" si="26"/>
        <v>0</v>
      </c>
      <c r="L278" s="14"/>
      <c r="M278" s="14"/>
      <c r="N278" s="13"/>
      <c r="W278" s="16"/>
      <c r="X278" s="16"/>
      <c r="Y278" s="16">
        <f>+COUNTIF(Y15:Y277,"&gt;0")</f>
        <v>0</v>
      </c>
      <c r="Z278" s="15" t="s">
        <v>67</v>
      </c>
    </row>
    <row r="279" spans="2:26" ht="12" customHeight="1">
      <c r="B279" s="116">
        <v>1</v>
      </c>
      <c r="C279" s="176"/>
      <c r="D279" s="177" t="s">
        <v>8</v>
      </c>
      <c r="E279" s="17">
        <f t="shared" ref="E279:E343" si="27">+SUM(H279:H279)</f>
        <v>0</v>
      </c>
      <c r="F279" s="196">
        <f t="shared" ref="F279:F343" si="28">+SUM(H279:H279)</f>
        <v>0</v>
      </c>
      <c r="G279" s="17"/>
      <c r="H279" s="17">
        <f>IFERROR( VLOOKUP(B279,Descargas!$B$3:$I$94,8,FALSE),0)</f>
        <v>0</v>
      </c>
      <c r="K279" s="116">
        <f t="shared" si="26"/>
        <v>0</v>
      </c>
      <c r="L279" s="6"/>
      <c r="M279" s="6"/>
      <c r="N279" s="4"/>
    </row>
    <row r="280" spans="2:26" ht="12" customHeight="1">
      <c r="B280" s="116">
        <v>2</v>
      </c>
      <c r="C280" s="176"/>
      <c r="D280" s="177" t="s">
        <v>9</v>
      </c>
      <c r="E280" s="17">
        <f t="shared" si="27"/>
        <v>0</v>
      </c>
      <c r="F280" s="196">
        <f t="shared" si="28"/>
        <v>0</v>
      </c>
      <c r="G280" s="17"/>
      <c r="H280" s="17">
        <f>IFERROR( VLOOKUP(B280,Descargas!$B$3:$I$94,8,FALSE),0)</f>
        <v>0</v>
      </c>
      <c r="K280" s="116">
        <f t="shared" si="26"/>
        <v>0</v>
      </c>
      <c r="L280" s="6"/>
      <c r="M280" s="6"/>
      <c r="N280" s="4"/>
    </row>
    <row r="281" spans="2:26" ht="12" customHeight="1">
      <c r="B281" s="116">
        <v>3</v>
      </c>
      <c r="C281" s="176"/>
      <c r="D281" s="177" t="s">
        <v>10</v>
      </c>
      <c r="E281" s="17">
        <f t="shared" si="27"/>
        <v>0</v>
      </c>
      <c r="F281" s="196">
        <f t="shared" si="28"/>
        <v>0</v>
      </c>
      <c r="G281" s="17"/>
      <c r="H281" s="17">
        <f>IFERROR( VLOOKUP(B281,Descargas!$B$3:$I$94,8,FALSE),0)</f>
        <v>0</v>
      </c>
      <c r="K281" s="116">
        <f t="shared" si="26"/>
        <v>0</v>
      </c>
      <c r="L281" s="6"/>
      <c r="M281" s="6"/>
      <c r="N281" s="4"/>
    </row>
    <row r="282" spans="2:26" ht="12" customHeight="1">
      <c r="B282" s="116">
        <v>4</v>
      </c>
      <c r="C282" s="176"/>
      <c r="D282" s="177" t="s">
        <v>11</v>
      </c>
      <c r="E282" s="17">
        <f t="shared" si="27"/>
        <v>0</v>
      </c>
      <c r="F282" s="196">
        <f t="shared" si="28"/>
        <v>0</v>
      </c>
      <c r="G282" s="17"/>
      <c r="H282" s="17">
        <f>IFERROR( VLOOKUP(B282,Descargas!$B$3:$I$94,8,FALSE),0)</f>
        <v>0</v>
      </c>
      <c r="K282" s="116">
        <f t="shared" si="26"/>
        <v>0</v>
      </c>
      <c r="L282" s="6"/>
      <c r="M282" s="6"/>
      <c r="N282" s="4"/>
    </row>
    <row r="283" spans="2:26" ht="12" customHeight="1">
      <c r="B283" s="116">
        <v>5</v>
      </c>
      <c r="C283" s="176"/>
      <c r="D283" s="177" t="s">
        <v>12</v>
      </c>
      <c r="E283" s="17">
        <f t="shared" si="27"/>
        <v>0</v>
      </c>
      <c r="F283" s="196">
        <f t="shared" si="28"/>
        <v>0</v>
      </c>
      <c r="G283" s="17"/>
      <c r="H283" s="17">
        <f>IFERROR( VLOOKUP(B283,Descargas!$B$3:$I$94,8,FALSE),0)</f>
        <v>0</v>
      </c>
      <c r="K283" s="116">
        <f t="shared" si="26"/>
        <v>0</v>
      </c>
      <c r="L283" s="6"/>
      <c r="M283" s="6"/>
      <c r="N283" s="4"/>
    </row>
    <row r="284" spans="2:26" ht="12" customHeight="1">
      <c r="B284" s="116">
        <v>6</v>
      </c>
      <c r="C284" s="197"/>
      <c r="D284" s="177" t="s">
        <v>13</v>
      </c>
      <c r="E284" s="17">
        <f t="shared" si="27"/>
        <v>0</v>
      </c>
      <c r="F284" s="196">
        <f t="shared" si="28"/>
        <v>0</v>
      </c>
      <c r="G284" s="17"/>
      <c r="H284" s="17">
        <f>IFERROR( VLOOKUP(B284,Descargas!$B$3:$I$94,8,FALSE),0)</f>
        <v>0</v>
      </c>
      <c r="K284" s="116">
        <f t="shared" si="26"/>
        <v>0</v>
      </c>
      <c r="L284" s="6"/>
      <c r="M284" s="6"/>
      <c r="N284" s="4"/>
    </row>
    <row r="285" spans="2:26" ht="12" customHeight="1">
      <c r="B285" s="116">
        <v>7</v>
      </c>
      <c r="C285" s="197"/>
      <c r="D285" s="180" t="s">
        <v>14</v>
      </c>
      <c r="E285" s="17">
        <f t="shared" si="27"/>
        <v>0</v>
      </c>
      <c r="F285" s="196">
        <f t="shared" si="28"/>
        <v>0</v>
      </c>
      <c r="G285" s="17"/>
      <c r="H285" s="17">
        <f>IFERROR( VLOOKUP(B285,Descargas!$B$3:$I$94,8,FALSE),0)</f>
        <v>0</v>
      </c>
      <c r="K285" s="116">
        <f t="shared" si="26"/>
        <v>0</v>
      </c>
      <c r="L285" s="6"/>
      <c r="M285" s="6"/>
      <c r="N285" s="4"/>
    </row>
    <row r="286" spans="2:26" ht="12" customHeight="1">
      <c r="B286" s="116">
        <v>8</v>
      </c>
      <c r="C286" s="197"/>
      <c r="D286" s="177" t="s">
        <v>15</v>
      </c>
      <c r="E286" s="17">
        <f t="shared" si="27"/>
        <v>0</v>
      </c>
      <c r="F286" s="196">
        <f t="shared" si="28"/>
        <v>0</v>
      </c>
      <c r="G286" s="17"/>
      <c r="H286" s="17">
        <f>IFERROR( VLOOKUP(B286,Descargas!$B$3:$I$94,8,FALSE),0)</f>
        <v>0</v>
      </c>
      <c r="K286" s="116">
        <f t="shared" si="26"/>
        <v>0</v>
      </c>
      <c r="L286" s="6"/>
      <c r="M286" s="6"/>
      <c r="N286" s="4"/>
    </row>
    <row r="287" spans="2:26">
      <c r="B287" s="116">
        <v>9</v>
      </c>
      <c r="C287" s="197"/>
      <c r="D287" s="177" t="s">
        <v>16</v>
      </c>
      <c r="E287" s="17">
        <f t="shared" si="27"/>
        <v>0</v>
      </c>
      <c r="F287" s="196">
        <f t="shared" si="28"/>
        <v>0</v>
      </c>
      <c r="G287" s="17"/>
      <c r="H287" s="17">
        <f>IFERROR( VLOOKUP(B287,Descargas!$B$3:$I$94,8,FALSE),0)</f>
        <v>0</v>
      </c>
      <c r="K287" s="116">
        <f t="shared" si="26"/>
        <v>0</v>
      </c>
      <c r="L287" s="6"/>
      <c r="M287" s="6"/>
      <c r="N287" s="4"/>
    </row>
    <row r="288" spans="2:26" ht="12" customHeight="1">
      <c r="B288" s="116">
        <v>10</v>
      </c>
      <c r="C288" s="197"/>
      <c r="D288" s="177" t="s">
        <v>17</v>
      </c>
      <c r="E288" s="17">
        <f t="shared" si="27"/>
        <v>0</v>
      </c>
      <c r="F288" s="196">
        <f t="shared" si="28"/>
        <v>0</v>
      </c>
      <c r="G288" s="17"/>
      <c r="H288" s="17">
        <f>IFERROR( VLOOKUP(B288,Descargas!$B$3:$I$94,8,FALSE),0)</f>
        <v>0</v>
      </c>
      <c r="K288" s="116">
        <f t="shared" si="26"/>
        <v>0</v>
      </c>
      <c r="L288" s="6"/>
      <c r="M288" s="6"/>
      <c r="N288" s="4"/>
    </row>
    <row r="289" spans="2:14" ht="12" customHeight="1">
      <c r="B289" s="116">
        <v>11</v>
      </c>
      <c r="C289" s="197"/>
      <c r="D289" s="177" t="s">
        <v>18</v>
      </c>
      <c r="E289" s="17">
        <f t="shared" si="27"/>
        <v>0</v>
      </c>
      <c r="F289" s="196">
        <f t="shared" si="28"/>
        <v>0</v>
      </c>
      <c r="G289" s="17"/>
      <c r="H289" s="17">
        <f>IFERROR( VLOOKUP(B289,Descargas!$B$3:$I$94,8,FALSE),0)</f>
        <v>0</v>
      </c>
      <c r="K289" s="116">
        <f t="shared" si="26"/>
        <v>0</v>
      </c>
      <c r="L289" s="6"/>
      <c r="M289" s="6"/>
      <c r="N289" s="4"/>
    </row>
    <row r="290" spans="2:14" ht="12" customHeight="1">
      <c r="B290" s="116">
        <v>12</v>
      </c>
      <c r="C290" s="197"/>
      <c r="D290" s="177" t="s">
        <v>156</v>
      </c>
      <c r="E290" s="17">
        <f t="shared" si="27"/>
        <v>0</v>
      </c>
      <c r="F290" s="196">
        <f t="shared" si="28"/>
        <v>0</v>
      </c>
      <c r="G290" s="17"/>
      <c r="H290" s="17">
        <f>IFERROR( VLOOKUP(B290,Descargas!$B$3:$I$94,8,FALSE),0)</f>
        <v>0</v>
      </c>
      <c r="K290" s="116">
        <f t="shared" si="26"/>
        <v>0</v>
      </c>
      <c r="L290" s="6"/>
      <c r="M290" s="6"/>
      <c r="N290" s="4"/>
    </row>
    <row r="291" spans="2:14">
      <c r="B291" s="116">
        <v>13</v>
      </c>
      <c r="C291" s="197"/>
      <c r="D291" s="177" t="s">
        <v>157</v>
      </c>
      <c r="E291" s="17">
        <f t="shared" si="27"/>
        <v>0</v>
      </c>
      <c r="F291" s="196">
        <f t="shared" si="28"/>
        <v>0</v>
      </c>
      <c r="G291" s="17"/>
      <c r="H291" s="17">
        <f>IFERROR( VLOOKUP(B291,Descargas!$B$3:$I$94,8,FALSE),0)</f>
        <v>0</v>
      </c>
      <c r="K291" s="116">
        <f t="shared" si="26"/>
        <v>0</v>
      </c>
      <c r="L291" s="6"/>
      <c r="M291" s="6"/>
      <c r="N291" s="4"/>
    </row>
    <row r="292" spans="2:14" ht="12" customHeight="1">
      <c r="B292" s="116">
        <v>14</v>
      </c>
      <c r="C292" s="197"/>
      <c r="D292" s="180" t="s">
        <v>241</v>
      </c>
      <c r="E292" s="17">
        <f t="shared" si="27"/>
        <v>0</v>
      </c>
      <c r="F292" s="196">
        <f t="shared" si="28"/>
        <v>0</v>
      </c>
      <c r="G292" s="17"/>
      <c r="H292" s="17">
        <f>IFERROR( VLOOKUP(B292,Descargas!$B$3:$I$94,8,FALSE),0)</f>
        <v>0</v>
      </c>
      <c r="K292" s="116">
        <f t="shared" si="26"/>
        <v>0</v>
      </c>
      <c r="L292" s="6"/>
      <c r="M292" s="6"/>
      <c r="N292" s="4"/>
    </row>
    <row r="293" spans="2:14" ht="12" customHeight="1">
      <c r="B293" s="116">
        <v>15</v>
      </c>
      <c r="C293" s="197"/>
      <c r="D293" s="177" t="s">
        <v>158</v>
      </c>
      <c r="E293" s="17">
        <f>+SUM(H293:H293)</f>
        <v>0</v>
      </c>
      <c r="F293" s="196">
        <f t="shared" si="28"/>
        <v>0</v>
      </c>
      <c r="G293" s="17"/>
      <c r="H293" s="17">
        <f>IFERROR( VLOOKUP(B293,Descargas!$B$3:$I$94,8,FALSE),0)</f>
        <v>0</v>
      </c>
      <c r="K293" s="116">
        <f t="shared" si="26"/>
        <v>0</v>
      </c>
      <c r="L293" s="6"/>
      <c r="M293" s="6"/>
      <c r="N293" s="4"/>
    </row>
    <row r="294" spans="2:14" ht="12" customHeight="1">
      <c r="B294" s="116">
        <v>16</v>
      </c>
      <c r="C294" s="197"/>
      <c r="D294" s="177" t="s">
        <v>107</v>
      </c>
      <c r="E294" s="17">
        <f>+SUM(H294:H294)</f>
        <v>0</v>
      </c>
      <c r="F294" s="196">
        <f t="shared" si="28"/>
        <v>0</v>
      </c>
      <c r="G294" s="17"/>
      <c r="H294" s="17">
        <f>IFERROR( VLOOKUP(B294,Descargas!$B$3:$I$94,8,FALSE),0)</f>
        <v>0</v>
      </c>
      <c r="K294" s="116">
        <f t="shared" si="26"/>
        <v>0</v>
      </c>
      <c r="L294" s="6"/>
      <c r="M294" s="6"/>
      <c r="N294" s="4"/>
    </row>
    <row r="295" spans="2:14" ht="12" customHeight="1">
      <c r="B295" s="116">
        <v>17</v>
      </c>
      <c r="C295" s="197"/>
      <c r="D295" s="177" t="s">
        <v>85</v>
      </c>
      <c r="E295" s="17">
        <f>+SUM(H295:H295)</f>
        <v>0</v>
      </c>
      <c r="F295" s="196">
        <f t="shared" si="28"/>
        <v>0</v>
      </c>
      <c r="G295" s="17"/>
      <c r="H295" s="17">
        <f>IFERROR( VLOOKUP(B295,Descargas!$B$3:$I$94,8,FALSE),0)</f>
        <v>0</v>
      </c>
      <c r="K295" s="116">
        <f t="shared" si="26"/>
        <v>0</v>
      </c>
      <c r="L295" s="6"/>
      <c r="M295" s="6"/>
      <c r="N295" s="4"/>
    </row>
    <row r="296" spans="2:14" ht="12" customHeight="1">
      <c r="B296" s="116">
        <v>18</v>
      </c>
      <c r="C296" s="197"/>
      <c r="D296" s="177" t="s">
        <v>224</v>
      </c>
      <c r="E296" s="17">
        <f t="shared" si="27"/>
        <v>0</v>
      </c>
      <c r="F296" s="196">
        <f t="shared" si="28"/>
        <v>0</v>
      </c>
      <c r="G296" s="17"/>
      <c r="H296" s="17">
        <f>IFERROR( VLOOKUP(B296,Descargas!$B$3:$I$94,8,FALSE),0)</f>
        <v>0</v>
      </c>
      <c r="K296" s="116">
        <f t="shared" si="26"/>
        <v>0</v>
      </c>
      <c r="L296" s="6"/>
      <c r="M296" s="6"/>
      <c r="N296" s="4"/>
    </row>
    <row r="297" spans="2:14" ht="12" customHeight="1">
      <c r="B297" s="116">
        <v>21</v>
      </c>
      <c r="C297" s="197"/>
      <c r="D297" s="177" t="s">
        <v>252</v>
      </c>
      <c r="E297" s="17">
        <f t="shared" si="27"/>
        <v>0</v>
      </c>
      <c r="F297" s="196">
        <f t="shared" si="28"/>
        <v>0</v>
      </c>
      <c r="G297" s="17"/>
      <c r="H297" s="17">
        <f>IFERROR( VLOOKUP(B297,Descargas!$B$3:$I$94,8,FALSE),0)</f>
        <v>0</v>
      </c>
      <c r="K297" s="116">
        <f t="shared" si="26"/>
        <v>0</v>
      </c>
      <c r="L297" s="6"/>
      <c r="M297" s="6"/>
      <c r="N297" s="4"/>
    </row>
    <row r="298" spans="2:14" ht="12" customHeight="1">
      <c r="B298" s="116">
        <v>22</v>
      </c>
      <c r="C298" s="197"/>
      <c r="D298" s="177" t="s">
        <v>251</v>
      </c>
      <c r="E298" s="17">
        <f t="shared" si="27"/>
        <v>0</v>
      </c>
      <c r="F298" s="196">
        <f t="shared" si="28"/>
        <v>0</v>
      </c>
      <c r="G298" s="17"/>
      <c r="H298" s="17">
        <f>IFERROR( VLOOKUP(B298,Descargas!$B$3:$I$94,8,FALSE),0)</f>
        <v>0</v>
      </c>
      <c r="K298" s="116">
        <f t="shared" si="26"/>
        <v>0</v>
      </c>
      <c r="L298" s="6"/>
      <c r="M298" s="6"/>
      <c r="N298" s="4"/>
    </row>
    <row r="299" spans="2:14" ht="12" customHeight="1">
      <c r="B299" s="116">
        <v>23</v>
      </c>
      <c r="C299" s="197"/>
      <c r="D299" s="177" t="s">
        <v>19</v>
      </c>
      <c r="E299" s="17">
        <f t="shared" si="27"/>
        <v>0</v>
      </c>
      <c r="F299" s="196">
        <f t="shared" si="28"/>
        <v>0</v>
      </c>
      <c r="G299" s="17"/>
      <c r="H299" s="17">
        <f>IFERROR( VLOOKUP(B299,Descargas!$B$3:$I$94,8,FALSE),0)</f>
        <v>0</v>
      </c>
      <c r="K299" s="116">
        <f t="shared" si="26"/>
        <v>0</v>
      </c>
      <c r="L299" s="6"/>
      <c r="M299" s="6"/>
      <c r="N299" s="4"/>
    </row>
    <row r="300" spans="2:14" ht="12" customHeight="1">
      <c r="B300" s="116">
        <v>24</v>
      </c>
      <c r="C300" s="197"/>
      <c r="D300" s="177" t="s">
        <v>20</v>
      </c>
      <c r="E300" s="17">
        <f t="shared" si="27"/>
        <v>0</v>
      </c>
      <c r="F300" s="196">
        <f t="shared" si="28"/>
        <v>0</v>
      </c>
      <c r="G300" s="17"/>
      <c r="H300" s="17">
        <f>IFERROR( VLOOKUP(B300,Descargas!$B$3:$I$94,8,FALSE),0)</f>
        <v>0</v>
      </c>
      <c r="K300" s="116">
        <f t="shared" si="26"/>
        <v>0</v>
      </c>
      <c r="L300" s="6"/>
      <c r="M300" s="6"/>
      <c r="N300" s="4"/>
    </row>
    <row r="301" spans="2:14" ht="12" customHeight="1">
      <c r="B301" s="116">
        <v>25</v>
      </c>
      <c r="C301" s="197"/>
      <c r="D301" s="177" t="s">
        <v>21</v>
      </c>
      <c r="E301" s="17">
        <f t="shared" si="27"/>
        <v>0</v>
      </c>
      <c r="F301" s="196">
        <f t="shared" si="28"/>
        <v>0</v>
      </c>
      <c r="G301" s="17"/>
      <c r="H301" s="17">
        <f>IFERROR( VLOOKUP(B301,Descargas!$B$3:$I$94,8,FALSE),0)</f>
        <v>0</v>
      </c>
      <c r="K301" s="116">
        <f t="shared" si="26"/>
        <v>0</v>
      </c>
      <c r="L301" s="6"/>
      <c r="M301" s="6"/>
      <c r="N301" s="4"/>
    </row>
    <row r="302" spans="2:14" ht="12" customHeight="1">
      <c r="B302" s="116">
        <v>26</v>
      </c>
      <c r="C302" s="197"/>
      <c r="D302" s="177" t="s">
        <v>22</v>
      </c>
      <c r="E302" s="17">
        <f t="shared" si="27"/>
        <v>0</v>
      </c>
      <c r="F302" s="196">
        <f t="shared" si="28"/>
        <v>0</v>
      </c>
      <c r="G302" s="17"/>
      <c r="H302" s="17">
        <f>IFERROR( VLOOKUP(B302,Descargas!$B$3:$I$94,8,FALSE),0)</f>
        <v>0</v>
      </c>
      <c r="K302" s="116">
        <f t="shared" si="26"/>
        <v>0</v>
      </c>
      <c r="L302" s="6"/>
      <c r="M302" s="6"/>
      <c r="N302" s="4"/>
    </row>
    <row r="303" spans="2:14" ht="12" customHeight="1">
      <c r="B303" s="116">
        <v>27</v>
      </c>
      <c r="C303" s="197"/>
      <c r="D303" s="177" t="s">
        <v>23</v>
      </c>
      <c r="E303" s="17">
        <f t="shared" si="27"/>
        <v>0</v>
      </c>
      <c r="F303" s="196">
        <f t="shared" si="28"/>
        <v>0</v>
      </c>
      <c r="G303" s="17"/>
      <c r="H303" s="17">
        <f>IFERROR( VLOOKUP(B303,Descargas!$B$3:$I$94,8,FALSE),0)</f>
        <v>0</v>
      </c>
      <c r="K303" s="116">
        <f t="shared" si="26"/>
        <v>0</v>
      </c>
      <c r="L303" s="6"/>
      <c r="M303" s="6"/>
      <c r="N303" s="4"/>
    </row>
    <row r="304" spans="2:14">
      <c r="B304" s="116">
        <v>28</v>
      </c>
      <c r="C304" s="197"/>
      <c r="D304" s="177" t="s">
        <v>24</v>
      </c>
      <c r="E304" s="17">
        <f t="shared" si="27"/>
        <v>0</v>
      </c>
      <c r="F304" s="196">
        <f t="shared" si="28"/>
        <v>0</v>
      </c>
      <c r="G304" s="17"/>
      <c r="H304" s="17">
        <f>IFERROR( VLOOKUP(B304,Descargas!$B$3:$I$94,8,FALSE),0)</f>
        <v>0</v>
      </c>
      <c r="K304" s="116">
        <f t="shared" si="26"/>
        <v>0</v>
      </c>
      <c r="L304" s="6"/>
      <c r="M304" s="6"/>
      <c r="N304" s="4"/>
    </row>
    <row r="305" spans="2:14" ht="12" customHeight="1">
      <c r="B305" s="116">
        <v>29</v>
      </c>
      <c r="C305" s="197"/>
      <c r="D305" s="177" t="s">
        <v>159</v>
      </c>
      <c r="E305" s="17">
        <f>+SUM(H305:H305)</f>
        <v>0</v>
      </c>
      <c r="F305" s="196">
        <f t="shared" si="28"/>
        <v>0</v>
      </c>
      <c r="G305" s="17"/>
      <c r="H305" s="17">
        <f>IFERROR( VLOOKUP(B305,Descargas!$B$3:$I$94,8,FALSE),0)</f>
        <v>0</v>
      </c>
      <c r="K305" s="116">
        <f t="shared" si="26"/>
        <v>0</v>
      </c>
      <c r="L305" s="6"/>
      <c r="M305" s="6"/>
      <c r="N305" s="4"/>
    </row>
    <row r="306" spans="2:14">
      <c r="B306" s="116">
        <v>31</v>
      </c>
      <c r="C306" s="197"/>
      <c r="D306" s="180" t="s">
        <v>225</v>
      </c>
      <c r="E306" s="17">
        <f>+SUM(H306:H306)</f>
        <v>0</v>
      </c>
      <c r="F306" s="196">
        <f t="shared" si="28"/>
        <v>0</v>
      </c>
      <c r="G306" s="17"/>
      <c r="H306" s="17">
        <f>IFERROR( VLOOKUP(B306,Descargas!$B$3:$I$94,8,FALSE),0)</f>
        <v>0</v>
      </c>
      <c r="K306" s="116">
        <f t="shared" si="26"/>
        <v>0</v>
      </c>
      <c r="L306" s="6"/>
      <c r="M306" s="6"/>
      <c r="N306" s="4"/>
    </row>
    <row r="307" spans="2:14" ht="12" customHeight="1">
      <c r="B307" s="116">
        <v>32</v>
      </c>
      <c r="C307" s="197"/>
      <c r="D307" s="177" t="s">
        <v>133</v>
      </c>
      <c r="E307" s="17">
        <f>+SUM(H307:H307)</f>
        <v>0</v>
      </c>
      <c r="F307" s="196">
        <f t="shared" si="28"/>
        <v>0</v>
      </c>
      <c r="G307" s="17"/>
      <c r="H307" s="17">
        <f>IFERROR( VLOOKUP(B307,Descargas!$B$3:$I$94,8,FALSE),0)</f>
        <v>0</v>
      </c>
      <c r="K307" s="116">
        <f t="shared" si="26"/>
        <v>0</v>
      </c>
      <c r="L307" s="6"/>
      <c r="M307" s="6"/>
      <c r="N307" s="4"/>
    </row>
    <row r="308" spans="2:14" ht="12" customHeight="1">
      <c r="B308" s="116">
        <v>33</v>
      </c>
      <c r="C308" s="197"/>
      <c r="D308" s="177" t="s">
        <v>226</v>
      </c>
      <c r="E308" s="17">
        <f t="shared" si="27"/>
        <v>0</v>
      </c>
      <c r="F308" s="196">
        <f t="shared" si="28"/>
        <v>0</v>
      </c>
      <c r="G308" s="17"/>
      <c r="H308" s="17">
        <f>IFERROR( VLOOKUP(B308,Descargas!$B$3:$I$94,8,FALSE),0)</f>
        <v>0</v>
      </c>
      <c r="K308" s="116">
        <f t="shared" si="26"/>
        <v>0</v>
      </c>
      <c r="L308" s="6"/>
      <c r="M308" s="6"/>
      <c r="N308" s="4"/>
    </row>
    <row r="309" spans="2:14" ht="12" customHeight="1">
      <c r="B309" s="116">
        <v>34</v>
      </c>
      <c r="C309" s="197"/>
      <c r="D309" s="177" t="s">
        <v>160</v>
      </c>
      <c r="E309" s="17">
        <f t="shared" si="27"/>
        <v>0</v>
      </c>
      <c r="F309" s="196">
        <f t="shared" si="28"/>
        <v>0</v>
      </c>
      <c r="G309" s="17"/>
      <c r="H309" s="17">
        <f>IFERROR( VLOOKUP(B309,Descargas!$B$3:$I$94,8,FALSE),0)</f>
        <v>0</v>
      </c>
      <c r="K309" s="116">
        <f t="shared" si="26"/>
        <v>0</v>
      </c>
      <c r="L309" s="6"/>
      <c r="M309" s="6"/>
      <c r="N309" s="4"/>
    </row>
    <row r="310" spans="2:14" ht="12" customHeight="1">
      <c r="B310" s="116">
        <v>35</v>
      </c>
      <c r="C310" s="197"/>
      <c r="D310" s="177" t="s">
        <v>227</v>
      </c>
      <c r="E310" s="17">
        <f t="shared" si="27"/>
        <v>0</v>
      </c>
      <c r="F310" s="196">
        <f t="shared" si="28"/>
        <v>0</v>
      </c>
      <c r="G310" s="17"/>
      <c r="H310" s="17">
        <f>IFERROR( VLOOKUP(B310,Descargas!$B$3:$I$94,8,FALSE),0)</f>
        <v>0</v>
      </c>
      <c r="K310" s="116">
        <f t="shared" si="26"/>
        <v>0</v>
      </c>
      <c r="L310" s="6"/>
      <c r="M310" s="6"/>
      <c r="N310" s="4"/>
    </row>
    <row r="311" spans="2:14" ht="12" customHeight="1">
      <c r="B311" s="116">
        <v>36</v>
      </c>
      <c r="C311" s="197"/>
      <c r="D311" s="177" t="s">
        <v>161</v>
      </c>
      <c r="E311" s="17">
        <f t="shared" si="27"/>
        <v>0</v>
      </c>
      <c r="F311" s="196">
        <f t="shared" si="28"/>
        <v>0</v>
      </c>
      <c r="G311" s="17"/>
      <c r="H311" s="17">
        <f>IFERROR( VLOOKUP(B311,Descargas!$B$3:$I$94,8,FALSE),0)</f>
        <v>0</v>
      </c>
      <c r="K311" s="116">
        <f t="shared" si="26"/>
        <v>0</v>
      </c>
      <c r="L311" s="6"/>
      <c r="M311" s="6"/>
      <c r="N311" s="4"/>
    </row>
    <row r="312" spans="2:14" ht="12" customHeight="1">
      <c r="B312" s="116">
        <v>37</v>
      </c>
      <c r="C312" s="197"/>
      <c r="D312" s="177" t="s">
        <v>25</v>
      </c>
      <c r="E312" s="17">
        <f t="shared" si="27"/>
        <v>0</v>
      </c>
      <c r="F312" s="196">
        <f t="shared" si="28"/>
        <v>0</v>
      </c>
      <c r="G312" s="17"/>
      <c r="H312" s="17">
        <f>IFERROR( VLOOKUP(B312,Descargas!$B$3:$I$94,8,FALSE),0)</f>
        <v>0</v>
      </c>
      <c r="K312" s="116">
        <f t="shared" si="26"/>
        <v>0</v>
      </c>
      <c r="L312" s="6"/>
      <c r="M312" s="6"/>
      <c r="N312" s="4"/>
    </row>
    <row r="313" spans="2:14" ht="12" customHeight="1">
      <c r="B313" s="116">
        <v>38</v>
      </c>
      <c r="C313" s="197"/>
      <c r="D313" s="177" t="s">
        <v>228</v>
      </c>
      <c r="E313" s="17">
        <f t="shared" si="27"/>
        <v>0</v>
      </c>
      <c r="F313" s="196">
        <f t="shared" si="28"/>
        <v>0</v>
      </c>
      <c r="G313" s="17"/>
      <c r="H313" s="17">
        <f>IFERROR( VLOOKUP(B313,Descargas!$B$3:$I$94,8,FALSE),0)</f>
        <v>0</v>
      </c>
      <c r="K313" s="116">
        <f t="shared" si="26"/>
        <v>0</v>
      </c>
      <c r="L313" s="6"/>
      <c r="M313" s="6"/>
      <c r="N313" s="4"/>
    </row>
    <row r="314" spans="2:14" ht="12" customHeight="1">
      <c r="B314" s="116">
        <v>39</v>
      </c>
      <c r="C314" s="197"/>
      <c r="D314" s="177" t="s">
        <v>26</v>
      </c>
      <c r="E314" s="17">
        <f t="shared" si="27"/>
        <v>0</v>
      </c>
      <c r="F314" s="196">
        <f t="shared" si="28"/>
        <v>0</v>
      </c>
      <c r="G314" s="17"/>
      <c r="H314" s="17">
        <f>IFERROR( VLOOKUP(B314,Descargas!$B$3:$I$94,8,FALSE),0)</f>
        <v>0</v>
      </c>
      <c r="K314" s="116">
        <f t="shared" si="26"/>
        <v>0</v>
      </c>
      <c r="L314" s="6"/>
      <c r="M314" s="6"/>
      <c r="N314" s="4"/>
    </row>
    <row r="315" spans="2:14" ht="12" customHeight="1">
      <c r="B315" s="116">
        <v>40</v>
      </c>
      <c r="C315" s="197"/>
      <c r="D315" s="177" t="s">
        <v>101</v>
      </c>
      <c r="E315" s="17">
        <f>+SUM(H315:H315)</f>
        <v>0</v>
      </c>
      <c r="F315" s="196">
        <f t="shared" si="28"/>
        <v>0</v>
      </c>
      <c r="G315" s="17"/>
      <c r="H315" s="17">
        <f>IFERROR( VLOOKUP(B315,Descargas!$B$3:$I$94,8,FALSE),0)</f>
        <v>0</v>
      </c>
      <c r="K315" s="116">
        <f t="shared" si="26"/>
        <v>0</v>
      </c>
      <c r="L315" s="6"/>
      <c r="M315" s="6"/>
      <c r="N315" s="4"/>
    </row>
    <row r="316" spans="2:14">
      <c r="B316" s="116">
        <v>41</v>
      </c>
      <c r="C316" s="197"/>
      <c r="D316" s="177">
        <v>41</v>
      </c>
      <c r="E316" s="17">
        <f>+SUM(H316:H316)</f>
        <v>0</v>
      </c>
      <c r="F316" s="196">
        <f t="shared" si="28"/>
        <v>0</v>
      </c>
      <c r="G316" s="17"/>
      <c r="H316" s="17">
        <f>IFERROR( VLOOKUP(B316,Descargas!$B$3:$I$94,8,FALSE),0)</f>
        <v>0</v>
      </c>
      <c r="K316" s="116">
        <f t="shared" si="26"/>
        <v>0</v>
      </c>
      <c r="L316" s="6"/>
      <c r="M316" s="6"/>
      <c r="N316" s="4"/>
    </row>
    <row r="317" spans="2:14" ht="12" customHeight="1">
      <c r="B317" s="116">
        <v>42</v>
      </c>
      <c r="C317" s="197"/>
      <c r="D317" s="177" t="s">
        <v>27</v>
      </c>
      <c r="E317" s="17">
        <f>+SUM(H317:H317)</f>
        <v>0</v>
      </c>
      <c r="F317" s="196">
        <f t="shared" si="28"/>
        <v>0</v>
      </c>
      <c r="G317" s="17"/>
      <c r="H317" s="17">
        <f>IFERROR( VLOOKUP(B317,Descargas!$B$3:$I$94,8,FALSE),0)</f>
        <v>0</v>
      </c>
      <c r="K317" s="116">
        <f t="shared" si="26"/>
        <v>0</v>
      </c>
      <c r="L317" s="6"/>
      <c r="M317" s="6"/>
      <c r="N317" s="4"/>
    </row>
    <row r="318" spans="2:14" ht="12" customHeight="1">
      <c r="B318" s="116">
        <v>43</v>
      </c>
      <c r="C318" s="197"/>
      <c r="D318" s="177" t="s">
        <v>229</v>
      </c>
      <c r="E318" s="17">
        <f t="shared" si="27"/>
        <v>0</v>
      </c>
      <c r="F318" s="196">
        <f t="shared" si="28"/>
        <v>0</v>
      </c>
      <c r="G318" s="17"/>
      <c r="H318" s="17">
        <f>IFERROR( VLOOKUP(B318,Descargas!$B$3:$I$94,8,FALSE),0)</f>
        <v>0</v>
      </c>
      <c r="K318" s="116">
        <f t="shared" si="26"/>
        <v>0</v>
      </c>
      <c r="L318" s="6"/>
      <c r="M318" s="6"/>
      <c r="N318" s="4"/>
    </row>
    <row r="319" spans="2:14" ht="12" customHeight="1">
      <c r="B319" s="116">
        <v>44</v>
      </c>
      <c r="C319" s="197"/>
      <c r="D319" s="177" t="s">
        <v>93</v>
      </c>
      <c r="E319" s="17">
        <f t="shared" si="27"/>
        <v>0</v>
      </c>
      <c r="F319" s="196">
        <f t="shared" si="28"/>
        <v>0</v>
      </c>
      <c r="G319" s="17"/>
      <c r="H319" s="17">
        <f>IFERROR( VLOOKUP(B319,Descargas!$B$3:$I$94,8,FALSE),0)</f>
        <v>0</v>
      </c>
      <c r="K319" s="116">
        <f t="shared" si="26"/>
        <v>0</v>
      </c>
      <c r="L319" s="6"/>
      <c r="M319" s="6"/>
      <c r="N319" s="4"/>
    </row>
    <row r="320" spans="2:14">
      <c r="B320" s="116">
        <v>45</v>
      </c>
      <c r="C320" s="197"/>
      <c r="D320" s="177" t="s">
        <v>28</v>
      </c>
      <c r="E320" s="17">
        <f>+SUM(H320:H320)</f>
        <v>0</v>
      </c>
      <c r="F320" s="196">
        <f t="shared" si="28"/>
        <v>0</v>
      </c>
      <c r="G320" s="196"/>
      <c r="H320" s="17">
        <f>IFERROR( VLOOKUP(B320,Descargas!$B$3:$I$94,8,FALSE),0)</f>
        <v>0</v>
      </c>
      <c r="K320" s="116">
        <f t="shared" si="26"/>
        <v>0</v>
      </c>
      <c r="L320" s="6"/>
      <c r="M320" s="6"/>
      <c r="N320" s="4"/>
    </row>
    <row r="321" spans="2:14" ht="12" customHeight="1">
      <c r="B321" s="116">
        <v>47</v>
      </c>
      <c r="C321" s="197"/>
      <c r="D321" s="177" t="s">
        <v>154</v>
      </c>
      <c r="E321" s="17">
        <f t="shared" si="27"/>
        <v>0</v>
      </c>
      <c r="F321" s="196">
        <f t="shared" si="28"/>
        <v>0</v>
      </c>
      <c r="G321" s="196"/>
      <c r="H321" s="17">
        <f>IFERROR( VLOOKUP(B321,Descargas!$B$3:$I$94,8,FALSE),0)</f>
        <v>0</v>
      </c>
      <c r="K321" s="116">
        <f t="shared" si="26"/>
        <v>0</v>
      </c>
      <c r="L321" s="6"/>
      <c r="M321" s="6"/>
      <c r="N321" s="4"/>
    </row>
    <row r="322" spans="2:14" ht="12" customHeight="1">
      <c r="B322" s="116">
        <v>48</v>
      </c>
      <c r="C322" s="197"/>
      <c r="D322" s="177" t="s">
        <v>29</v>
      </c>
      <c r="E322" s="17">
        <f t="shared" si="27"/>
        <v>0</v>
      </c>
      <c r="F322" s="196">
        <f t="shared" si="28"/>
        <v>0</v>
      </c>
      <c r="G322" s="196"/>
      <c r="H322" s="17">
        <f>IFERROR( VLOOKUP(B322,Descargas!$B$3:$I$94,8,FALSE),0)</f>
        <v>0</v>
      </c>
      <c r="K322" s="116">
        <f t="shared" si="26"/>
        <v>0</v>
      </c>
      <c r="L322" s="6"/>
      <c r="M322" s="6"/>
      <c r="N322" s="4"/>
    </row>
    <row r="323" spans="2:14" ht="12" customHeight="1">
      <c r="B323" s="116">
        <v>49</v>
      </c>
      <c r="C323" s="197"/>
      <c r="D323" s="177" t="s">
        <v>162</v>
      </c>
      <c r="E323" s="17">
        <f t="shared" si="27"/>
        <v>0</v>
      </c>
      <c r="F323" s="196">
        <f t="shared" si="28"/>
        <v>0</v>
      </c>
      <c r="G323" s="196"/>
      <c r="H323" s="17">
        <f>IFERROR( VLOOKUP(B323,Descargas!$B$3:$I$94,8,FALSE),0)</f>
        <v>0</v>
      </c>
      <c r="K323" s="116">
        <f t="shared" si="26"/>
        <v>0</v>
      </c>
      <c r="L323" s="6"/>
      <c r="M323" s="6"/>
      <c r="N323" s="4"/>
    </row>
    <row r="324" spans="2:14" ht="12" customHeight="1">
      <c r="B324" s="116">
        <v>50</v>
      </c>
      <c r="C324" s="197"/>
      <c r="D324" s="177" t="s">
        <v>30</v>
      </c>
      <c r="E324" s="17">
        <f t="shared" si="27"/>
        <v>0</v>
      </c>
      <c r="F324" s="196">
        <f t="shared" si="28"/>
        <v>0</v>
      </c>
      <c r="G324" s="196"/>
      <c r="H324" s="17">
        <f>IFERROR( VLOOKUP(B324,Descargas!$B$3:$I$94,8,FALSE),0)</f>
        <v>0</v>
      </c>
      <c r="K324" s="116">
        <f t="shared" si="26"/>
        <v>0</v>
      </c>
      <c r="L324" s="6"/>
      <c r="M324" s="6"/>
      <c r="N324" s="4"/>
    </row>
    <row r="325" spans="2:14" ht="12" customHeight="1">
      <c r="B325" s="116">
        <v>51</v>
      </c>
      <c r="C325" s="197"/>
      <c r="D325" s="177">
        <v>51</v>
      </c>
      <c r="E325" s="17">
        <f t="shared" si="27"/>
        <v>0</v>
      </c>
      <c r="F325" s="196">
        <f t="shared" si="28"/>
        <v>0</v>
      </c>
      <c r="G325" s="196"/>
      <c r="H325" s="17">
        <f>IFERROR( VLOOKUP(B325,Descargas!$B$3:$I$94,8,FALSE),0)</f>
        <v>0</v>
      </c>
      <c r="K325" s="116">
        <f t="shared" si="26"/>
        <v>0</v>
      </c>
      <c r="L325" s="6"/>
      <c r="M325" s="6"/>
      <c r="N325" s="4"/>
    </row>
    <row r="326" spans="2:14" ht="12" customHeight="1">
      <c r="B326" s="116">
        <v>52</v>
      </c>
      <c r="C326" s="197"/>
      <c r="D326" s="177" t="s">
        <v>75</v>
      </c>
      <c r="E326" s="17">
        <f t="shared" si="27"/>
        <v>0</v>
      </c>
      <c r="F326" s="196">
        <f t="shared" si="28"/>
        <v>0</v>
      </c>
      <c r="G326" s="17"/>
      <c r="H326" s="17">
        <f>IFERROR( VLOOKUP(B326,Descargas!$B$3:$I$94,8,FALSE),0)</f>
        <v>0</v>
      </c>
      <c r="K326" s="116">
        <f t="shared" si="26"/>
        <v>0</v>
      </c>
      <c r="L326" s="6"/>
      <c r="M326" s="6"/>
      <c r="N326" s="4"/>
    </row>
    <row r="327" spans="2:14" ht="12" customHeight="1">
      <c r="B327" s="116">
        <v>53</v>
      </c>
      <c r="C327" s="197"/>
      <c r="D327" s="177" t="s">
        <v>31</v>
      </c>
      <c r="E327" s="17">
        <f t="shared" si="27"/>
        <v>0</v>
      </c>
      <c r="F327" s="196">
        <f t="shared" si="28"/>
        <v>0</v>
      </c>
      <c r="G327" s="17"/>
      <c r="H327" s="17">
        <f>IFERROR( VLOOKUP(B327,Descargas!$B$3:$I$94,8,FALSE),0)</f>
        <v>0</v>
      </c>
      <c r="K327" s="116">
        <f t="shared" si="26"/>
        <v>0</v>
      </c>
      <c r="L327" s="6"/>
      <c r="M327" s="6"/>
      <c r="N327" s="4"/>
    </row>
    <row r="328" spans="2:14" ht="12" customHeight="1">
      <c r="B328" s="116">
        <v>55</v>
      </c>
      <c r="C328" s="197"/>
      <c r="D328" s="177" t="s">
        <v>32</v>
      </c>
      <c r="E328" s="17">
        <f t="shared" si="27"/>
        <v>0</v>
      </c>
      <c r="F328" s="196">
        <f t="shared" si="28"/>
        <v>0</v>
      </c>
      <c r="G328" s="17"/>
      <c r="H328" s="17">
        <f>IFERROR( VLOOKUP(B328,Descargas!$B$3:$I$94,8,FALSE),0)</f>
        <v>0</v>
      </c>
      <c r="K328" s="116">
        <f t="shared" si="26"/>
        <v>0</v>
      </c>
      <c r="L328" s="6"/>
      <c r="M328" s="6"/>
      <c r="N328" s="4"/>
    </row>
    <row r="329" spans="2:14" ht="12" customHeight="1">
      <c r="B329" s="116">
        <v>57</v>
      </c>
      <c r="C329" s="197"/>
      <c r="D329" s="177" t="s">
        <v>163</v>
      </c>
      <c r="E329" s="17">
        <f t="shared" si="27"/>
        <v>0</v>
      </c>
      <c r="F329" s="196">
        <f t="shared" si="28"/>
        <v>0</v>
      </c>
      <c r="G329" s="17"/>
      <c r="H329" s="17">
        <f>IFERROR( VLOOKUP(B329,Descargas!$B$3:$I$94,8,FALSE),0)</f>
        <v>0</v>
      </c>
      <c r="K329" s="116">
        <f t="shared" si="26"/>
        <v>0</v>
      </c>
      <c r="L329" s="6"/>
      <c r="M329" s="6"/>
      <c r="N329" s="4"/>
    </row>
    <row r="330" spans="2:14" ht="12" customHeight="1">
      <c r="B330" s="116">
        <v>58</v>
      </c>
      <c r="C330" s="197"/>
      <c r="D330" s="177" t="s">
        <v>33</v>
      </c>
      <c r="E330" s="17">
        <f t="shared" si="27"/>
        <v>0</v>
      </c>
      <c r="F330" s="196">
        <f t="shared" si="28"/>
        <v>0</v>
      </c>
      <c r="G330" s="17"/>
      <c r="H330" s="17">
        <f>IFERROR( VLOOKUP(B330,Descargas!$B$3:$I$94,8,FALSE),0)</f>
        <v>0</v>
      </c>
      <c r="K330" s="116">
        <f t="shared" si="26"/>
        <v>0</v>
      </c>
      <c r="L330" s="6"/>
      <c r="M330" s="6"/>
      <c r="N330" s="4"/>
    </row>
    <row r="331" spans="2:14" ht="12" customHeight="1">
      <c r="B331" s="116">
        <v>59</v>
      </c>
      <c r="C331" s="197"/>
      <c r="D331" s="177" t="s">
        <v>34</v>
      </c>
      <c r="E331" s="17">
        <f t="shared" si="27"/>
        <v>0</v>
      </c>
      <c r="F331" s="196">
        <f t="shared" si="28"/>
        <v>0</v>
      </c>
      <c r="G331" s="17"/>
      <c r="H331" s="17">
        <f>IFERROR( VLOOKUP(B331,Descargas!$B$3:$I$94,8,FALSE),0)</f>
        <v>0</v>
      </c>
      <c r="K331" s="116">
        <f t="shared" si="26"/>
        <v>0</v>
      </c>
      <c r="L331" s="6"/>
      <c r="M331" s="6"/>
      <c r="N331" s="4"/>
    </row>
    <row r="332" spans="2:14" ht="12" customHeight="1">
      <c r="B332" s="116">
        <v>60</v>
      </c>
      <c r="C332" s="197"/>
      <c r="D332" s="177" t="s">
        <v>35</v>
      </c>
      <c r="E332" s="17">
        <f t="shared" si="27"/>
        <v>0</v>
      </c>
      <c r="F332" s="196">
        <f t="shared" si="28"/>
        <v>0</v>
      </c>
      <c r="G332" s="17"/>
      <c r="H332" s="17">
        <f>IFERROR( VLOOKUP(B332,Descargas!$B$3:$I$94,8,FALSE),0)</f>
        <v>0</v>
      </c>
      <c r="K332" s="116">
        <f t="shared" si="26"/>
        <v>0</v>
      </c>
      <c r="L332" s="6"/>
      <c r="M332" s="6"/>
      <c r="N332" s="4"/>
    </row>
    <row r="333" spans="2:14" ht="12" customHeight="1">
      <c r="B333" s="116">
        <v>61</v>
      </c>
      <c r="C333" s="197"/>
      <c r="D333" s="180" t="s">
        <v>155</v>
      </c>
      <c r="E333" s="17">
        <f t="shared" si="27"/>
        <v>0</v>
      </c>
      <c r="F333" s="196">
        <f t="shared" si="28"/>
        <v>0</v>
      </c>
      <c r="G333" s="17"/>
      <c r="H333" s="17">
        <f>IFERROR( VLOOKUP(B333,Descargas!$B$3:$I$94,8,FALSE),0)</f>
        <v>0</v>
      </c>
      <c r="K333" s="116">
        <f t="shared" si="26"/>
        <v>0</v>
      </c>
      <c r="L333" s="6"/>
      <c r="M333" s="6"/>
      <c r="N333" s="4"/>
    </row>
    <row r="334" spans="2:14" ht="12" customHeight="1">
      <c r="B334" s="116">
        <v>63</v>
      </c>
      <c r="C334" s="197"/>
      <c r="D334" s="177" t="s">
        <v>36</v>
      </c>
      <c r="E334" s="17">
        <f t="shared" si="27"/>
        <v>0</v>
      </c>
      <c r="F334" s="196">
        <f t="shared" si="28"/>
        <v>0</v>
      </c>
      <c r="G334" s="17"/>
      <c r="H334" s="17">
        <f>IFERROR( VLOOKUP(B334,Descargas!$B$3:$I$94,8,FALSE),0)</f>
        <v>0</v>
      </c>
      <c r="K334" s="116">
        <f t="shared" si="26"/>
        <v>0</v>
      </c>
      <c r="L334" s="6"/>
      <c r="M334" s="6"/>
      <c r="N334" s="4"/>
    </row>
    <row r="335" spans="2:14" ht="12" customHeight="1">
      <c r="B335" s="116">
        <v>64</v>
      </c>
      <c r="C335" s="197"/>
      <c r="D335" s="177" t="s">
        <v>72</v>
      </c>
      <c r="E335" s="17">
        <v>0</v>
      </c>
      <c r="F335" s="196">
        <f t="shared" si="28"/>
        <v>0</v>
      </c>
      <c r="G335" s="17"/>
      <c r="H335" s="17">
        <f>IFERROR( VLOOKUP(B335,Descargas!$B$3:$I$94,8,FALSE),0)</f>
        <v>0</v>
      </c>
      <c r="K335" s="116">
        <f t="shared" ref="K335:K398" si="29">+F335/$K$9</f>
        <v>0</v>
      </c>
      <c r="L335" s="6"/>
      <c r="M335" s="6"/>
      <c r="N335" s="4"/>
    </row>
    <row r="336" spans="2:14" ht="12" customHeight="1">
      <c r="B336" s="116">
        <v>65</v>
      </c>
      <c r="C336" s="197"/>
      <c r="D336" s="177" t="s">
        <v>260</v>
      </c>
      <c r="E336" s="17">
        <f t="shared" si="27"/>
        <v>0</v>
      </c>
      <c r="F336" s="196">
        <f t="shared" si="28"/>
        <v>0</v>
      </c>
      <c r="G336" s="17"/>
      <c r="H336" s="17">
        <f>IFERROR( VLOOKUP(B336,Descargas!$B$3:$I$94,8,FALSE),0)</f>
        <v>0</v>
      </c>
      <c r="K336" s="116">
        <f t="shared" si="29"/>
        <v>0</v>
      </c>
      <c r="L336" s="6"/>
      <c r="M336" s="6"/>
      <c r="N336" s="4"/>
    </row>
    <row r="337" spans="2:14" ht="12" customHeight="1">
      <c r="B337" s="116">
        <v>66</v>
      </c>
      <c r="C337" s="197"/>
      <c r="D337" s="177" t="s">
        <v>164</v>
      </c>
      <c r="E337" s="17">
        <f t="shared" si="27"/>
        <v>0</v>
      </c>
      <c r="F337" s="196">
        <f t="shared" si="28"/>
        <v>0</v>
      </c>
      <c r="G337" s="17"/>
      <c r="H337" s="17">
        <f>IFERROR( VLOOKUP(B337,Descargas!$B$3:$I$94,8,FALSE),0)</f>
        <v>0</v>
      </c>
      <c r="K337" s="116">
        <f t="shared" si="29"/>
        <v>0</v>
      </c>
      <c r="L337" s="6"/>
      <c r="M337" s="6"/>
      <c r="N337" s="4"/>
    </row>
    <row r="338" spans="2:14" ht="12" customHeight="1">
      <c r="B338" s="116">
        <v>67</v>
      </c>
      <c r="C338" s="197"/>
      <c r="D338" s="177" t="s">
        <v>37</v>
      </c>
      <c r="E338" s="17">
        <f t="shared" si="27"/>
        <v>0</v>
      </c>
      <c r="F338" s="196">
        <f t="shared" si="28"/>
        <v>0</v>
      </c>
      <c r="G338" s="17"/>
      <c r="H338" s="17">
        <f>IFERROR( VLOOKUP(B338,Descargas!$B$3:$I$94,8,FALSE),0)</f>
        <v>0</v>
      </c>
      <c r="K338" s="116">
        <f t="shared" si="29"/>
        <v>0</v>
      </c>
      <c r="L338" s="6"/>
      <c r="M338" s="6"/>
      <c r="N338" s="4"/>
    </row>
    <row r="339" spans="2:14" ht="12" customHeight="1">
      <c r="B339" s="116">
        <v>69</v>
      </c>
      <c r="C339" s="197"/>
      <c r="D339" s="177" t="s">
        <v>165</v>
      </c>
      <c r="E339" s="17">
        <f t="shared" si="27"/>
        <v>0</v>
      </c>
      <c r="F339" s="196">
        <f t="shared" si="28"/>
        <v>0</v>
      </c>
      <c r="G339" s="17"/>
      <c r="H339" s="17">
        <f>IFERROR( VLOOKUP(B339,Descargas!$B$3:$I$94,8,FALSE),0)</f>
        <v>0</v>
      </c>
      <c r="K339" s="116">
        <f t="shared" si="29"/>
        <v>0</v>
      </c>
      <c r="L339" s="6"/>
      <c r="M339" s="6"/>
      <c r="N339" s="4"/>
    </row>
    <row r="340" spans="2:14">
      <c r="B340" s="116">
        <v>70</v>
      </c>
      <c r="C340" s="197"/>
      <c r="D340" s="177" t="s">
        <v>108</v>
      </c>
      <c r="E340" s="17">
        <f t="shared" si="27"/>
        <v>0</v>
      </c>
      <c r="F340" s="196">
        <f t="shared" si="28"/>
        <v>0</v>
      </c>
      <c r="G340" s="17"/>
      <c r="H340" s="17">
        <f>IFERROR( VLOOKUP(B340,Descargas!$B$3:$I$94,8,FALSE),0)</f>
        <v>0</v>
      </c>
      <c r="K340" s="116">
        <f t="shared" si="29"/>
        <v>0</v>
      </c>
      <c r="L340" s="6"/>
      <c r="M340" s="6"/>
      <c r="N340" s="4"/>
    </row>
    <row r="341" spans="2:14">
      <c r="B341" s="116">
        <v>71</v>
      </c>
      <c r="C341" s="197"/>
      <c r="D341" s="177" t="s">
        <v>38</v>
      </c>
      <c r="E341" s="17">
        <f t="shared" si="27"/>
        <v>0</v>
      </c>
      <c r="F341" s="196">
        <f t="shared" si="28"/>
        <v>0</v>
      </c>
      <c r="G341" s="17"/>
      <c r="H341" s="17">
        <f>IFERROR( VLOOKUP(B341,Descargas!$B$3:$I$94,8,FALSE),0)</f>
        <v>0</v>
      </c>
      <c r="K341" s="116">
        <f t="shared" si="29"/>
        <v>0</v>
      </c>
      <c r="L341" s="6"/>
      <c r="M341" s="6"/>
      <c r="N341" s="4"/>
    </row>
    <row r="342" spans="2:14" ht="12" customHeight="1">
      <c r="B342" s="116">
        <v>72</v>
      </c>
      <c r="C342" s="197"/>
      <c r="D342" s="177" t="s">
        <v>166</v>
      </c>
      <c r="E342" s="17">
        <f t="shared" si="27"/>
        <v>0</v>
      </c>
      <c r="F342" s="196">
        <f t="shared" si="28"/>
        <v>0</v>
      </c>
      <c r="G342" s="17"/>
      <c r="H342" s="17">
        <f>IFERROR( VLOOKUP(B342,Descargas!$B$3:$I$94,8,FALSE),0)</f>
        <v>0</v>
      </c>
      <c r="K342" s="116">
        <f t="shared" si="29"/>
        <v>0</v>
      </c>
      <c r="L342" s="6"/>
      <c r="M342" s="6"/>
      <c r="N342" s="4"/>
    </row>
    <row r="343" spans="2:14" ht="12" customHeight="1">
      <c r="B343" s="116">
        <v>73</v>
      </c>
      <c r="C343" s="197"/>
      <c r="D343" s="177" t="s">
        <v>167</v>
      </c>
      <c r="E343" s="17">
        <f t="shared" si="27"/>
        <v>0</v>
      </c>
      <c r="F343" s="196">
        <f t="shared" si="28"/>
        <v>0</v>
      </c>
      <c r="G343" s="17"/>
      <c r="H343" s="17">
        <f>IFERROR( VLOOKUP(B343,Descargas!$B$3:$I$94,8,FALSE),0)</f>
        <v>0</v>
      </c>
      <c r="K343" s="116">
        <f t="shared" si="29"/>
        <v>0</v>
      </c>
      <c r="L343" s="6"/>
      <c r="M343" s="6"/>
      <c r="N343" s="4"/>
    </row>
    <row r="344" spans="2:14" ht="12" customHeight="1">
      <c r="B344" s="116">
        <v>74</v>
      </c>
      <c r="C344" s="197"/>
      <c r="D344" s="177" t="s">
        <v>153</v>
      </c>
      <c r="E344" s="17">
        <f t="shared" ref="E344:E407" si="30">+SUM(H344:H344)</f>
        <v>0</v>
      </c>
      <c r="F344" s="196">
        <f t="shared" ref="F344:F407" si="31">+SUM(H344:H344)</f>
        <v>0</v>
      </c>
      <c r="G344" s="17"/>
      <c r="H344" s="17">
        <f>IFERROR( VLOOKUP(B344,Descargas!$B$3:$I$94,8,FALSE),0)</f>
        <v>0</v>
      </c>
      <c r="K344" s="116">
        <f t="shared" si="29"/>
        <v>0</v>
      </c>
      <c r="L344" s="6"/>
      <c r="M344" s="6"/>
      <c r="N344" s="4"/>
    </row>
    <row r="345" spans="2:14" ht="12" customHeight="1">
      <c r="B345" s="116">
        <v>75</v>
      </c>
      <c r="C345" s="197"/>
      <c r="D345" s="177" t="s">
        <v>168</v>
      </c>
      <c r="E345" s="17">
        <f t="shared" si="30"/>
        <v>0</v>
      </c>
      <c r="F345" s="196">
        <f t="shared" si="31"/>
        <v>0</v>
      </c>
      <c r="G345" s="17"/>
      <c r="H345" s="17">
        <f>IFERROR( VLOOKUP(B345,Descargas!$B$3:$I$94,8,FALSE),0)</f>
        <v>0</v>
      </c>
      <c r="K345" s="116">
        <f t="shared" si="29"/>
        <v>0</v>
      </c>
      <c r="L345" s="6"/>
      <c r="M345" s="6"/>
      <c r="N345" s="4"/>
    </row>
    <row r="346" spans="2:14" ht="12" customHeight="1">
      <c r="B346" s="116">
        <v>76</v>
      </c>
      <c r="C346" s="197"/>
      <c r="D346" s="180" t="s">
        <v>44</v>
      </c>
      <c r="E346" s="17">
        <f t="shared" si="30"/>
        <v>0</v>
      </c>
      <c r="F346" s="196">
        <f t="shared" si="31"/>
        <v>0</v>
      </c>
      <c r="G346" s="17"/>
      <c r="H346" s="17">
        <f>IFERROR( VLOOKUP(B346,Descargas!$B$3:$I$94,8,FALSE),0)</f>
        <v>0</v>
      </c>
      <c r="K346" s="116">
        <f t="shared" si="29"/>
        <v>0</v>
      </c>
      <c r="L346" s="6"/>
      <c r="M346" s="6"/>
      <c r="N346" s="4"/>
    </row>
    <row r="347" spans="2:14" ht="12" customHeight="1">
      <c r="B347" s="116">
        <v>77</v>
      </c>
      <c r="C347" s="197"/>
      <c r="D347" s="177" t="s">
        <v>134</v>
      </c>
      <c r="E347" s="17">
        <f>+SUM(H347:H347)</f>
        <v>0</v>
      </c>
      <c r="F347" s="196">
        <f t="shared" si="31"/>
        <v>0</v>
      </c>
      <c r="G347" s="17"/>
      <c r="H347" s="17">
        <f>IFERROR( VLOOKUP(B347,Descargas!$B$3:$I$94,8,FALSE),0)</f>
        <v>0</v>
      </c>
      <c r="K347" s="116">
        <f t="shared" si="29"/>
        <v>0</v>
      </c>
      <c r="L347" s="6"/>
      <c r="M347" s="6"/>
      <c r="N347" s="4"/>
    </row>
    <row r="348" spans="2:14" ht="12" customHeight="1">
      <c r="B348" s="116">
        <v>78</v>
      </c>
      <c r="C348" s="197"/>
      <c r="D348" s="177" t="s">
        <v>230</v>
      </c>
      <c r="E348" s="17">
        <f t="shared" si="30"/>
        <v>0</v>
      </c>
      <c r="F348" s="196">
        <f t="shared" si="31"/>
        <v>0</v>
      </c>
      <c r="G348" s="17"/>
      <c r="H348" s="17">
        <f>IFERROR( VLOOKUP(B348,Descargas!$B$3:$I$94,8,FALSE),0)</f>
        <v>0</v>
      </c>
      <c r="K348" s="116">
        <f t="shared" si="29"/>
        <v>0</v>
      </c>
      <c r="L348" s="6"/>
      <c r="M348" s="6"/>
      <c r="N348" s="4"/>
    </row>
    <row r="349" spans="2:14" ht="12" customHeight="1">
      <c r="B349" s="116">
        <v>79</v>
      </c>
      <c r="C349" s="197"/>
      <c r="D349" s="177" t="s">
        <v>231</v>
      </c>
      <c r="E349" s="17">
        <f t="shared" si="30"/>
        <v>0</v>
      </c>
      <c r="F349" s="196">
        <f t="shared" si="31"/>
        <v>0</v>
      </c>
      <c r="G349" s="17"/>
      <c r="H349" s="17">
        <f>IFERROR( VLOOKUP(B349,Descargas!$B$3:$I$94,8,FALSE),0)</f>
        <v>0</v>
      </c>
      <c r="K349" s="116">
        <f t="shared" si="29"/>
        <v>0</v>
      </c>
      <c r="L349" s="6"/>
      <c r="M349" s="6"/>
      <c r="N349" s="4"/>
    </row>
    <row r="350" spans="2:14" ht="12" customHeight="1">
      <c r="B350" s="116">
        <v>80</v>
      </c>
      <c r="C350" s="197"/>
      <c r="D350" s="177" t="s">
        <v>39</v>
      </c>
      <c r="E350" s="17">
        <f t="shared" si="30"/>
        <v>0</v>
      </c>
      <c r="F350" s="196">
        <f t="shared" si="31"/>
        <v>0</v>
      </c>
      <c r="G350" s="17"/>
      <c r="H350" s="17">
        <f>IFERROR( VLOOKUP(B350,Descargas!$B$3:$I$94,8,FALSE),0)</f>
        <v>0</v>
      </c>
      <c r="K350" s="116">
        <f t="shared" si="29"/>
        <v>0</v>
      </c>
      <c r="L350" s="6"/>
      <c r="M350" s="6"/>
      <c r="N350" s="4"/>
    </row>
    <row r="351" spans="2:14" ht="12" customHeight="1">
      <c r="B351" s="116">
        <v>81</v>
      </c>
      <c r="C351" s="197"/>
      <c r="D351" s="177" t="s">
        <v>169</v>
      </c>
      <c r="E351" s="17">
        <f t="shared" si="30"/>
        <v>0</v>
      </c>
      <c r="F351" s="196">
        <f t="shared" si="31"/>
        <v>0</v>
      </c>
      <c r="G351" s="17"/>
      <c r="H351" s="17">
        <f>IFERROR( VLOOKUP(B351,Descargas!$B$3:$I$94,8,FALSE),0)</f>
        <v>0</v>
      </c>
      <c r="K351" s="116">
        <f t="shared" si="29"/>
        <v>0</v>
      </c>
      <c r="L351" s="6"/>
      <c r="M351" s="6"/>
      <c r="N351" s="4"/>
    </row>
    <row r="352" spans="2:14" ht="12" customHeight="1">
      <c r="B352" s="116">
        <v>82</v>
      </c>
      <c r="C352" s="197"/>
      <c r="D352" s="177" t="s">
        <v>40</v>
      </c>
      <c r="E352" s="17">
        <f>+SUM(H352:H352)</f>
        <v>0</v>
      </c>
      <c r="F352" s="196">
        <f t="shared" si="31"/>
        <v>0</v>
      </c>
      <c r="G352" s="17"/>
      <c r="H352" s="17">
        <f>IFERROR( VLOOKUP(B352,Descargas!$B$3:$I$94,8,FALSE),0)</f>
        <v>0</v>
      </c>
      <c r="K352" s="116">
        <f t="shared" si="29"/>
        <v>0</v>
      </c>
      <c r="L352" s="6"/>
      <c r="M352" s="6"/>
      <c r="N352" s="4"/>
    </row>
    <row r="353" spans="2:14" ht="12" customHeight="1">
      <c r="B353" s="116">
        <v>83</v>
      </c>
      <c r="C353" s="197"/>
      <c r="D353" s="177" t="s">
        <v>109</v>
      </c>
      <c r="E353" s="17">
        <f t="shared" si="30"/>
        <v>0</v>
      </c>
      <c r="F353" s="196">
        <f t="shared" si="31"/>
        <v>0</v>
      </c>
      <c r="G353" s="17"/>
      <c r="H353" s="17">
        <f>IFERROR( VLOOKUP(B353,Descargas!$B$3:$I$94,8,FALSE),0)</f>
        <v>0</v>
      </c>
      <c r="K353" s="116">
        <f t="shared" si="29"/>
        <v>0</v>
      </c>
      <c r="L353" s="6"/>
      <c r="M353" s="6"/>
      <c r="N353" s="4"/>
    </row>
    <row r="354" spans="2:14" ht="12" customHeight="1">
      <c r="B354" s="116">
        <v>84</v>
      </c>
      <c r="C354" s="197"/>
      <c r="D354" s="177" t="s">
        <v>170</v>
      </c>
      <c r="E354" s="17">
        <f t="shared" si="30"/>
        <v>0</v>
      </c>
      <c r="F354" s="196">
        <f t="shared" si="31"/>
        <v>0</v>
      </c>
      <c r="G354" s="17"/>
      <c r="H354" s="17">
        <f>IFERROR( VLOOKUP(B354,Descargas!$B$3:$I$94,8,FALSE),0)</f>
        <v>0</v>
      </c>
      <c r="K354" s="116">
        <f t="shared" si="29"/>
        <v>0</v>
      </c>
      <c r="L354" s="6"/>
      <c r="M354" s="6"/>
      <c r="N354" s="4"/>
    </row>
    <row r="355" spans="2:14" ht="12" customHeight="1">
      <c r="B355" s="116">
        <v>85</v>
      </c>
      <c r="C355" s="197"/>
      <c r="D355" s="177" t="s">
        <v>253</v>
      </c>
      <c r="E355" s="17">
        <f>+SUM(H355:H355)</f>
        <v>0</v>
      </c>
      <c r="F355" s="196">
        <f t="shared" si="31"/>
        <v>0</v>
      </c>
      <c r="G355" s="17"/>
      <c r="H355" s="17">
        <f>IFERROR( VLOOKUP(B355,Descargas!$B$3:$I$94,8,FALSE),0)</f>
        <v>0</v>
      </c>
      <c r="K355" s="116">
        <f t="shared" si="29"/>
        <v>0</v>
      </c>
      <c r="L355" s="6"/>
      <c r="M355" s="6"/>
      <c r="N355" s="4"/>
    </row>
    <row r="356" spans="2:14">
      <c r="B356" s="116">
        <v>86</v>
      </c>
      <c r="C356" s="197"/>
      <c r="D356" s="177" t="s">
        <v>102</v>
      </c>
      <c r="E356" s="17">
        <f>+SUM(H356:H356)</f>
        <v>0</v>
      </c>
      <c r="F356" s="196">
        <f t="shared" si="31"/>
        <v>0</v>
      </c>
      <c r="G356" s="17"/>
      <c r="H356" s="17">
        <f>IFERROR( VLOOKUP(B356,Descargas!$B$3:$I$94,8,FALSE),0)</f>
        <v>0</v>
      </c>
      <c r="K356" s="116">
        <f t="shared" si="29"/>
        <v>0</v>
      </c>
      <c r="L356" s="6"/>
      <c r="M356" s="6"/>
      <c r="N356" s="4"/>
    </row>
    <row r="357" spans="2:14" ht="12" customHeight="1">
      <c r="B357" s="116">
        <v>87</v>
      </c>
      <c r="C357" s="197"/>
      <c r="D357" s="180" t="s">
        <v>110</v>
      </c>
      <c r="E357" s="17">
        <f>+SUM(H357:H357)</f>
        <v>0</v>
      </c>
      <c r="F357" s="196">
        <f t="shared" si="31"/>
        <v>0</v>
      </c>
      <c r="G357" s="17"/>
      <c r="H357" s="17">
        <f>IFERROR( VLOOKUP(B357,Descargas!$B$3:$I$94,8,FALSE),0)</f>
        <v>0</v>
      </c>
      <c r="K357" s="116">
        <f t="shared" si="29"/>
        <v>0</v>
      </c>
      <c r="L357" s="6"/>
      <c r="M357" s="6"/>
      <c r="N357" s="4"/>
    </row>
    <row r="358" spans="2:14" ht="12" customHeight="1">
      <c r="B358" s="116">
        <v>88</v>
      </c>
      <c r="C358" s="197"/>
      <c r="D358" s="177" t="s">
        <v>171</v>
      </c>
      <c r="E358" s="17">
        <f t="shared" si="30"/>
        <v>0</v>
      </c>
      <c r="F358" s="196">
        <f t="shared" si="31"/>
        <v>0</v>
      </c>
      <c r="G358" s="17"/>
      <c r="H358" s="17">
        <f>IFERROR( VLOOKUP(B358,Descargas!$B$3:$I$94,8,FALSE),0)</f>
        <v>0</v>
      </c>
      <c r="K358" s="116">
        <f t="shared" si="29"/>
        <v>0</v>
      </c>
      <c r="L358" s="6"/>
      <c r="M358" s="6"/>
      <c r="N358" s="4"/>
    </row>
    <row r="359" spans="2:14" ht="12" customHeight="1">
      <c r="B359" s="116">
        <v>89</v>
      </c>
      <c r="C359" s="197"/>
      <c r="D359" s="177" t="s">
        <v>103</v>
      </c>
      <c r="E359" s="17">
        <f t="shared" si="30"/>
        <v>0</v>
      </c>
      <c r="F359" s="196">
        <f t="shared" si="31"/>
        <v>0</v>
      </c>
      <c r="G359" s="17"/>
      <c r="H359" s="17">
        <f>IFERROR( VLOOKUP(B359,Descargas!$B$3:$I$94,8,FALSE),0)</f>
        <v>0</v>
      </c>
      <c r="K359" s="116">
        <f t="shared" si="29"/>
        <v>0</v>
      </c>
      <c r="L359" s="6"/>
      <c r="M359" s="6"/>
      <c r="N359" s="4"/>
    </row>
    <row r="360" spans="2:14" ht="12" customHeight="1">
      <c r="B360" s="116">
        <v>90</v>
      </c>
      <c r="C360" s="197"/>
      <c r="D360" s="177" t="s">
        <v>232</v>
      </c>
      <c r="E360" s="17">
        <f>+SUM(H360:H360)</f>
        <v>0</v>
      </c>
      <c r="F360" s="196">
        <f t="shared" si="31"/>
        <v>0</v>
      </c>
      <c r="G360" s="17"/>
      <c r="H360" s="17">
        <f>IFERROR( VLOOKUP(B360,Descargas!$B$3:$I$94,8,FALSE),0)</f>
        <v>0</v>
      </c>
      <c r="K360" s="116">
        <f t="shared" si="29"/>
        <v>0</v>
      </c>
      <c r="L360" s="6"/>
      <c r="M360" s="6"/>
      <c r="N360" s="4"/>
    </row>
    <row r="361" spans="2:14" ht="12" customHeight="1">
      <c r="B361" s="116">
        <v>91</v>
      </c>
      <c r="C361" s="197"/>
      <c r="D361" s="177" t="s">
        <v>76</v>
      </c>
      <c r="E361" s="17">
        <f t="shared" si="30"/>
        <v>0</v>
      </c>
      <c r="F361" s="196">
        <f t="shared" si="31"/>
        <v>0</v>
      </c>
      <c r="G361" s="17"/>
      <c r="H361" s="17">
        <f>IFERROR( VLOOKUP(B361,Descargas!$B$3:$I$94,8,FALSE),0)</f>
        <v>0</v>
      </c>
      <c r="K361" s="116">
        <f t="shared" si="29"/>
        <v>0</v>
      </c>
      <c r="L361" s="6"/>
      <c r="M361" s="6"/>
      <c r="N361" s="4"/>
    </row>
    <row r="362" spans="2:14" ht="12" customHeight="1">
      <c r="B362" s="116">
        <v>92</v>
      </c>
      <c r="C362" s="197"/>
      <c r="D362" s="177" t="s">
        <v>53</v>
      </c>
      <c r="E362" s="17">
        <f t="shared" si="30"/>
        <v>0</v>
      </c>
      <c r="F362" s="196">
        <f t="shared" si="31"/>
        <v>0</v>
      </c>
      <c r="G362" s="17"/>
      <c r="H362" s="17">
        <f>IFERROR( VLOOKUP(B362,Descargas!$B$3:$I$94,8,FALSE),0)</f>
        <v>0</v>
      </c>
      <c r="K362" s="116">
        <f t="shared" si="29"/>
        <v>0</v>
      </c>
      <c r="L362" s="6"/>
      <c r="M362" s="6"/>
      <c r="N362" s="4"/>
    </row>
    <row r="363" spans="2:14" ht="12" customHeight="1">
      <c r="B363" s="116">
        <v>93</v>
      </c>
      <c r="C363" s="197"/>
      <c r="D363" s="177" t="s">
        <v>54</v>
      </c>
      <c r="E363" s="17">
        <f t="shared" si="30"/>
        <v>0</v>
      </c>
      <c r="F363" s="196">
        <f t="shared" si="31"/>
        <v>0</v>
      </c>
      <c r="G363" s="17"/>
      <c r="H363" s="17">
        <f>IFERROR( VLOOKUP(B363,Descargas!$B$3:$I$94,8,FALSE),0)</f>
        <v>0</v>
      </c>
      <c r="K363" s="116">
        <f t="shared" si="29"/>
        <v>0</v>
      </c>
      <c r="L363" s="6"/>
      <c r="M363" s="6"/>
      <c r="N363" s="4"/>
    </row>
    <row r="364" spans="2:14" ht="12" customHeight="1">
      <c r="B364" s="116">
        <v>94</v>
      </c>
      <c r="C364" s="197"/>
      <c r="D364" s="177" t="s">
        <v>55</v>
      </c>
      <c r="E364" s="17">
        <f t="shared" si="30"/>
        <v>0</v>
      </c>
      <c r="F364" s="196">
        <f t="shared" si="31"/>
        <v>0</v>
      </c>
      <c r="G364" s="17"/>
      <c r="H364" s="17">
        <f>IFERROR( VLOOKUP(B364,Descargas!$B$3:$I$94,8,FALSE),0)</f>
        <v>0</v>
      </c>
      <c r="K364" s="116">
        <f t="shared" si="29"/>
        <v>0</v>
      </c>
      <c r="L364" s="6"/>
      <c r="M364" s="6"/>
      <c r="N364" s="4"/>
    </row>
    <row r="365" spans="2:14" ht="12" customHeight="1">
      <c r="B365" s="116">
        <v>95</v>
      </c>
      <c r="C365" s="197"/>
      <c r="D365" s="177" t="s">
        <v>68</v>
      </c>
      <c r="E365" s="17">
        <f>+SUM(H365:H365)</f>
        <v>0</v>
      </c>
      <c r="F365" s="196">
        <f t="shared" si="31"/>
        <v>0</v>
      </c>
      <c r="G365" s="17"/>
      <c r="H365" s="17">
        <f>IFERROR( VLOOKUP(B365,Descargas!$B$3:$I$94,8,FALSE),0)</f>
        <v>0</v>
      </c>
      <c r="K365" s="116">
        <f t="shared" si="29"/>
        <v>0</v>
      </c>
      <c r="L365" s="6"/>
      <c r="M365" s="6"/>
      <c r="N365" s="4"/>
    </row>
    <row r="366" spans="2:14" ht="12" customHeight="1">
      <c r="B366" s="116">
        <v>97</v>
      </c>
      <c r="C366" s="197"/>
      <c r="D366" s="177" t="s">
        <v>77</v>
      </c>
      <c r="E366" s="17">
        <f>+SUM(H366:H366)</f>
        <v>0</v>
      </c>
      <c r="F366" s="196">
        <f t="shared" si="31"/>
        <v>0</v>
      </c>
      <c r="G366" s="17"/>
      <c r="H366" s="17">
        <f>IFERROR( VLOOKUP(B366,Descargas!$B$3:$I$94,8,FALSE),0)</f>
        <v>0</v>
      </c>
      <c r="K366" s="116">
        <f t="shared" si="29"/>
        <v>0</v>
      </c>
      <c r="L366" s="6"/>
      <c r="M366" s="6"/>
      <c r="N366" s="4"/>
    </row>
    <row r="367" spans="2:14" ht="12" customHeight="1">
      <c r="B367" s="116">
        <v>98</v>
      </c>
      <c r="C367" s="197"/>
      <c r="D367" s="177" t="s">
        <v>41</v>
      </c>
      <c r="E367" s="17">
        <f t="shared" si="30"/>
        <v>0</v>
      </c>
      <c r="F367" s="196">
        <f t="shared" si="31"/>
        <v>0</v>
      </c>
      <c r="G367" s="17"/>
      <c r="H367" s="17">
        <f>IFERROR( VLOOKUP(B367,Descargas!$B$3:$I$94,8,FALSE),0)</f>
        <v>0</v>
      </c>
      <c r="K367" s="116">
        <f t="shared" si="29"/>
        <v>0</v>
      </c>
      <c r="L367" s="6"/>
      <c r="M367" s="6"/>
      <c r="N367" s="4"/>
    </row>
    <row r="368" spans="2:14" ht="12" customHeight="1">
      <c r="B368" s="116">
        <v>99</v>
      </c>
      <c r="C368" s="197"/>
      <c r="D368" s="177" t="s">
        <v>261</v>
      </c>
      <c r="E368" s="17">
        <f t="shared" si="30"/>
        <v>0</v>
      </c>
      <c r="F368" s="196">
        <f t="shared" si="31"/>
        <v>0</v>
      </c>
      <c r="G368" s="17"/>
      <c r="H368" s="17">
        <f>IFERROR( VLOOKUP(B368,Descargas!$B$3:$I$94,8,FALSE),0)</f>
        <v>0</v>
      </c>
      <c r="K368" s="116">
        <f t="shared" si="29"/>
        <v>0</v>
      </c>
      <c r="L368" s="6"/>
      <c r="M368" s="6"/>
      <c r="N368" s="4"/>
    </row>
    <row r="369" spans="2:14" ht="12" customHeight="1">
      <c r="B369" s="116">
        <v>100</v>
      </c>
      <c r="C369" s="197"/>
      <c r="D369" s="177" t="s">
        <v>42</v>
      </c>
      <c r="E369" s="17">
        <f t="shared" si="30"/>
        <v>0</v>
      </c>
      <c r="F369" s="196">
        <f t="shared" si="31"/>
        <v>0</v>
      </c>
      <c r="G369" s="17"/>
      <c r="H369" s="17">
        <f>IFERROR( VLOOKUP(B369,Descargas!$B$3:$I$94,8,FALSE),0)</f>
        <v>0</v>
      </c>
      <c r="K369" s="116">
        <f t="shared" si="29"/>
        <v>0</v>
      </c>
      <c r="L369" s="6"/>
      <c r="M369" s="6"/>
      <c r="N369" s="4"/>
    </row>
    <row r="370" spans="2:14" ht="12" customHeight="1">
      <c r="B370" s="116">
        <v>101</v>
      </c>
      <c r="C370" s="197"/>
      <c r="D370" s="177" t="s">
        <v>45</v>
      </c>
      <c r="E370" s="19">
        <f t="shared" si="30"/>
        <v>0</v>
      </c>
      <c r="F370" s="196">
        <f t="shared" si="31"/>
        <v>0</v>
      </c>
      <c r="G370" s="19"/>
      <c r="H370" s="17">
        <f>IFERROR( VLOOKUP(B370,Descargas!$B$3:$I$94,8,FALSE),0)</f>
        <v>0</v>
      </c>
      <c r="K370" s="116">
        <f t="shared" si="29"/>
        <v>0</v>
      </c>
      <c r="L370" s="6"/>
      <c r="M370" s="6"/>
      <c r="N370" s="4"/>
    </row>
    <row r="371" spans="2:14">
      <c r="B371" s="116">
        <v>102</v>
      </c>
      <c r="C371" s="197"/>
      <c r="D371" s="177" t="s">
        <v>172</v>
      </c>
      <c r="E371" s="17">
        <f>+SUM(H371:H371)</f>
        <v>0</v>
      </c>
      <c r="F371" s="196">
        <f t="shared" si="31"/>
        <v>0</v>
      </c>
      <c r="G371" s="17"/>
      <c r="H371" s="17">
        <f>IFERROR( VLOOKUP(B371,Descargas!$B$3:$I$94,8,FALSE),0)</f>
        <v>0</v>
      </c>
      <c r="K371" s="116">
        <f t="shared" si="29"/>
        <v>0</v>
      </c>
      <c r="L371" s="6"/>
      <c r="M371" s="6"/>
      <c r="N371" s="4"/>
    </row>
    <row r="372" spans="2:14" ht="12" customHeight="1">
      <c r="B372" s="116">
        <v>103</v>
      </c>
      <c r="C372" s="197"/>
      <c r="D372" s="177" t="s">
        <v>46</v>
      </c>
      <c r="E372" s="17">
        <f>+SUM(H372:H372)</f>
        <v>0</v>
      </c>
      <c r="F372" s="196">
        <f t="shared" si="31"/>
        <v>0</v>
      </c>
      <c r="G372" s="17"/>
      <c r="H372" s="17">
        <f>IFERROR( VLOOKUP(B372,Descargas!$B$3:$I$94,8,FALSE),0)</f>
        <v>0</v>
      </c>
      <c r="K372" s="116">
        <f t="shared" si="29"/>
        <v>0</v>
      </c>
      <c r="L372" s="6"/>
      <c r="M372" s="6"/>
      <c r="N372" s="4"/>
    </row>
    <row r="373" spans="2:14" ht="12" customHeight="1">
      <c r="B373" s="116">
        <v>105</v>
      </c>
      <c r="C373" s="197"/>
      <c r="D373" s="177" t="s">
        <v>43</v>
      </c>
      <c r="E373" s="17">
        <f t="shared" si="30"/>
        <v>0</v>
      </c>
      <c r="F373" s="196">
        <f t="shared" si="31"/>
        <v>0</v>
      </c>
      <c r="G373" s="17"/>
      <c r="H373" s="17">
        <f>IFERROR( VLOOKUP(B373,Descargas!$B$3:$I$94,8,FALSE),0)</f>
        <v>0</v>
      </c>
      <c r="K373" s="116">
        <f t="shared" si="29"/>
        <v>0</v>
      </c>
      <c r="L373" s="6"/>
      <c r="M373" s="6"/>
      <c r="N373" s="4"/>
    </row>
    <row r="374" spans="2:14" ht="12" customHeight="1">
      <c r="B374" s="116">
        <v>107</v>
      </c>
      <c r="C374" s="197"/>
      <c r="D374" s="177" t="s">
        <v>173</v>
      </c>
      <c r="E374" s="17">
        <f t="shared" si="30"/>
        <v>0</v>
      </c>
      <c r="F374" s="196">
        <f t="shared" si="31"/>
        <v>0</v>
      </c>
      <c r="G374" s="17"/>
      <c r="H374" s="17">
        <f>IFERROR( VLOOKUP(B374,Descargas!$B$3:$I$94,8,FALSE),0)</f>
        <v>0</v>
      </c>
      <c r="K374" s="116">
        <f t="shared" si="29"/>
        <v>0</v>
      </c>
      <c r="L374" s="6"/>
      <c r="M374" s="6"/>
      <c r="N374" s="4"/>
    </row>
    <row r="375" spans="2:14" ht="12" customHeight="1">
      <c r="B375" s="116">
        <v>108</v>
      </c>
      <c r="C375" s="197"/>
      <c r="D375" s="177" t="s">
        <v>56</v>
      </c>
      <c r="E375" s="17">
        <f>+SUM(H375:H375)</f>
        <v>0</v>
      </c>
      <c r="F375" s="196">
        <f t="shared" si="31"/>
        <v>0</v>
      </c>
      <c r="G375" s="17"/>
      <c r="H375" s="17">
        <f>IFERROR( VLOOKUP(B375,Descargas!$B$3:$I$94,8,FALSE),0)</f>
        <v>0</v>
      </c>
      <c r="K375" s="116">
        <f t="shared" si="29"/>
        <v>0</v>
      </c>
      <c r="L375" s="6"/>
      <c r="M375" s="6"/>
      <c r="N375" s="4"/>
    </row>
    <row r="376" spans="2:14" ht="12" customHeight="1">
      <c r="B376" s="116">
        <v>109</v>
      </c>
      <c r="C376" s="197"/>
      <c r="D376" s="177" t="s">
        <v>57</v>
      </c>
      <c r="E376" s="17">
        <f>+SUM(H376:H376)</f>
        <v>0</v>
      </c>
      <c r="F376" s="196">
        <f t="shared" si="31"/>
        <v>0</v>
      </c>
      <c r="G376" s="17"/>
      <c r="H376" s="17">
        <f>IFERROR( VLOOKUP(B376,Descargas!$B$3:$I$94,8,FALSE),0)</f>
        <v>0</v>
      </c>
      <c r="K376" s="116">
        <f t="shared" si="29"/>
        <v>0</v>
      </c>
      <c r="L376" s="6"/>
      <c r="M376" s="6"/>
      <c r="N376" s="4"/>
    </row>
    <row r="377" spans="2:14" ht="12" customHeight="1">
      <c r="B377" s="116">
        <v>110</v>
      </c>
      <c r="C377" s="197"/>
      <c r="D377" s="177" t="s">
        <v>58</v>
      </c>
      <c r="E377" s="17">
        <f t="shared" si="30"/>
        <v>0</v>
      </c>
      <c r="F377" s="196">
        <f t="shared" si="31"/>
        <v>0</v>
      </c>
      <c r="G377" s="17"/>
      <c r="H377" s="17">
        <f>IFERROR( VLOOKUP(B377,Descargas!$B$3:$I$94,8,FALSE),0)</f>
        <v>0</v>
      </c>
      <c r="K377" s="116">
        <f t="shared" si="29"/>
        <v>0</v>
      </c>
      <c r="L377" s="6"/>
      <c r="M377" s="6"/>
      <c r="N377" s="4"/>
    </row>
    <row r="378" spans="2:14" ht="12" customHeight="1">
      <c r="B378" s="116">
        <v>111</v>
      </c>
      <c r="C378" s="197"/>
      <c r="D378" s="177" t="s">
        <v>174</v>
      </c>
      <c r="E378" s="17">
        <f>+SUM(H378:H378)</f>
        <v>0</v>
      </c>
      <c r="F378" s="196">
        <f t="shared" si="31"/>
        <v>0</v>
      </c>
      <c r="G378" s="17"/>
      <c r="H378" s="17">
        <f>IFERROR( VLOOKUP(B378,Descargas!$B$3:$I$94,8,FALSE),0)</f>
        <v>0</v>
      </c>
      <c r="K378" s="116">
        <f t="shared" si="29"/>
        <v>0</v>
      </c>
      <c r="L378" s="6"/>
      <c r="M378" s="6"/>
      <c r="N378" s="4"/>
    </row>
    <row r="379" spans="2:14" ht="12" customHeight="1">
      <c r="B379" s="116">
        <v>112</v>
      </c>
      <c r="C379" s="197"/>
      <c r="D379" s="177" t="s">
        <v>59</v>
      </c>
      <c r="E379" s="17">
        <f t="shared" si="30"/>
        <v>0</v>
      </c>
      <c r="F379" s="196">
        <f t="shared" si="31"/>
        <v>0</v>
      </c>
      <c r="G379" s="17"/>
      <c r="H379" s="17">
        <f>IFERROR( VLOOKUP(B379,Descargas!$B$3:$I$94,8,FALSE),0)</f>
        <v>0</v>
      </c>
      <c r="K379" s="116">
        <f t="shared" si="29"/>
        <v>0</v>
      </c>
      <c r="L379" s="6"/>
      <c r="M379" s="6"/>
      <c r="N379" s="4"/>
    </row>
    <row r="380" spans="2:14" ht="12" customHeight="1">
      <c r="B380" s="116">
        <v>113</v>
      </c>
      <c r="C380" s="197"/>
      <c r="D380" s="177" t="s">
        <v>60</v>
      </c>
      <c r="E380" s="17">
        <f t="shared" si="30"/>
        <v>0</v>
      </c>
      <c r="F380" s="196">
        <f t="shared" si="31"/>
        <v>0</v>
      </c>
      <c r="G380" s="17"/>
      <c r="H380" s="17">
        <f>IFERROR( VLOOKUP(B380,Descargas!$B$3:$I$94,8,FALSE),0)</f>
        <v>0</v>
      </c>
      <c r="K380" s="116">
        <f t="shared" si="29"/>
        <v>0</v>
      </c>
      <c r="L380" s="6"/>
      <c r="M380" s="6"/>
      <c r="N380" s="4"/>
    </row>
    <row r="381" spans="2:14" ht="12" customHeight="1">
      <c r="B381" s="116">
        <v>114</v>
      </c>
      <c r="C381" s="197"/>
      <c r="D381" s="177" t="s">
        <v>61</v>
      </c>
      <c r="E381" s="17">
        <f t="shared" si="30"/>
        <v>0</v>
      </c>
      <c r="F381" s="196">
        <f t="shared" si="31"/>
        <v>0</v>
      </c>
      <c r="G381" s="17"/>
      <c r="H381" s="17">
        <f>IFERROR( VLOOKUP(B381,Descargas!$B$3:$I$94,8,FALSE),0)</f>
        <v>0</v>
      </c>
      <c r="K381" s="116">
        <f t="shared" si="29"/>
        <v>0</v>
      </c>
      <c r="L381" s="6"/>
      <c r="M381" s="6"/>
      <c r="N381" s="4"/>
    </row>
    <row r="382" spans="2:14" ht="12" customHeight="1">
      <c r="B382" s="116">
        <v>115</v>
      </c>
      <c r="C382" s="197"/>
      <c r="D382" s="177" t="s">
        <v>62</v>
      </c>
      <c r="E382" s="17">
        <f>+SUM(H382:H382)</f>
        <v>0</v>
      </c>
      <c r="F382" s="196">
        <f t="shared" si="31"/>
        <v>0</v>
      </c>
      <c r="G382" s="17"/>
      <c r="H382" s="17">
        <f>IFERROR( VLOOKUP(B382,Descargas!$B$3:$I$94,8,FALSE),0)</f>
        <v>0</v>
      </c>
      <c r="K382" s="116">
        <f t="shared" si="29"/>
        <v>0</v>
      </c>
      <c r="L382" s="6"/>
      <c r="M382" s="6"/>
      <c r="N382" s="4"/>
    </row>
    <row r="383" spans="2:14" ht="12" customHeight="1">
      <c r="B383" s="116">
        <v>116</v>
      </c>
      <c r="C383" s="197"/>
      <c r="D383" s="180" t="s">
        <v>63</v>
      </c>
      <c r="E383" s="17">
        <f>+SUM(H383:H383)</f>
        <v>0</v>
      </c>
      <c r="F383" s="196">
        <f t="shared" si="31"/>
        <v>0</v>
      </c>
      <c r="G383" s="17"/>
      <c r="H383" s="17">
        <f>IFERROR( VLOOKUP(B383,Descargas!$B$3:$I$94,8,FALSE),0)</f>
        <v>0</v>
      </c>
      <c r="K383" s="116">
        <f t="shared" si="29"/>
        <v>0</v>
      </c>
      <c r="L383" s="6"/>
      <c r="M383" s="6"/>
      <c r="N383" s="4"/>
    </row>
    <row r="384" spans="2:14" ht="12" customHeight="1">
      <c r="B384" s="116">
        <v>117</v>
      </c>
      <c r="C384" s="197"/>
      <c r="D384" s="177" t="s">
        <v>64</v>
      </c>
      <c r="E384" s="17">
        <f>+SUM(H384:H384)</f>
        <v>0</v>
      </c>
      <c r="F384" s="196">
        <f t="shared" si="31"/>
        <v>0</v>
      </c>
      <c r="G384" s="17"/>
      <c r="H384" s="17">
        <f>IFERROR( VLOOKUP(B384,Descargas!$B$3:$I$94,8,FALSE),0)</f>
        <v>0</v>
      </c>
      <c r="K384" s="116">
        <f t="shared" si="29"/>
        <v>0</v>
      </c>
      <c r="L384" s="6"/>
      <c r="M384" s="6"/>
      <c r="N384" s="4"/>
    </row>
    <row r="385" spans="2:14" ht="12" customHeight="1">
      <c r="B385" s="116">
        <v>118</v>
      </c>
      <c r="C385" s="197"/>
      <c r="D385" s="177" t="s">
        <v>69</v>
      </c>
      <c r="E385" s="17">
        <f t="shared" si="30"/>
        <v>0</v>
      </c>
      <c r="F385" s="196">
        <f t="shared" si="31"/>
        <v>0</v>
      </c>
      <c r="G385" s="17"/>
      <c r="H385" s="17">
        <f>IFERROR( VLOOKUP(B385,Descargas!$B$3:$I$94,8,FALSE),0)</f>
        <v>0</v>
      </c>
      <c r="K385" s="116">
        <f t="shared" si="29"/>
        <v>0</v>
      </c>
      <c r="L385" s="6"/>
      <c r="M385" s="6"/>
      <c r="N385" s="4"/>
    </row>
    <row r="386" spans="2:14" ht="12" customHeight="1">
      <c r="B386" s="116">
        <v>119</v>
      </c>
      <c r="C386" s="197"/>
      <c r="D386" s="177" t="s">
        <v>70</v>
      </c>
      <c r="E386" s="17">
        <f t="shared" si="30"/>
        <v>0</v>
      </c>
      <c r="F386" s="196">
        <f t="shared" si="31"/>
        <v>0</v>
      </c>
      <c r="G386" s="17"/>
      <c r="H386" s="17">
        <f>IFERROR( VLOOKUP(B386,Descargas!$B$3:$I$94,8,FALSE),0)</f>
        <v>0</v>
      </c>
      <c r="K386" s="116">
        <f t="shared" si="29"/>
        <v>0</v>
      </c>
      <c r="L386" s="6"/>
      <c r="M386" s="6"/>
      <c r="N386" s="4"/>
    </row>
    <row r="387" spans="2:14" ht="12" customHeight="1">
      <c r="B387" s="116">
        <v>120</v>
      </c>
      <c r="C387" s="197"/>
      <c r="D387" s="177" t="s">
        <v>175</v>
      </c>
      <c r="E387" s="17">
        <f t="shared" si="30"/>
        <v>0</v>
      </c>
      <c r="F387" s="196">
        <f t="shared" si="31"/>
        <v>0</v>
      </c>
      <c r="G387" s="17"/>
      <c r="H387" s="17">
        <f>IFERROR( VLOOKUP(B387,Descargas!$B$3:$I$94,8,FALSE),0)</f>
        <v>0</v>
      </c>
      <c r="K387" s="116">
        <f t="shared" si="29"/>
        <v>0</v>
      </c>
      <c r="L387" s="6"/>
      <c r="M387" s="6"/>
      <c r="N387" s="4"/>
    </row>
    <row r="388" spans="2:14" ht="12" customHeight="1">
      <c r="B388" s="116">
        <v>121</v>
      </c>
      <c r="C388" s="197"/>
      <c r="D388" s="180" t="s">
        <v>176</v>
      </c>
      <c r="E388" s="17">
        <f>+SUM(H388:H388)</f>
        <v>0</v>
      </c>
      <c r="F388" s="196">
        <f t="shared" si="31"/>
        <v>0</v>
      </c>
      <c r="G388" s="17"/>
      <c r="H388" s="17">
        <f>IFERROR( VLOOKUP(B388,Descargas!$B$3:$I$94,8,FALSE),0)</f>
        <v>0</v>
      </c>
      <c r="K388" s="116">
        <f t="shared" si="29"/>
        <v>0</v>
      </c>
      <c r="L388" s="6"/>
      <c r="M388" s="6"/>
      <c r="N388" s="4"/>
    </row>
    <row r="389" spans="2:14" ht="12" customHeight="1">
      <c r="B389" s="116">
        <v>122</v>
      </c>
      <c r="C389" s="197"/>
      <c r="D389" s="177" t="s">
        <v>71</v>
      </c>
      <c r="E389" s="17">
        <f t="shared" si="30"/>
        <v>0</v>
      </c>
      <c r="F389" s="196">
        <f t="shared" si="31"/>
        <v>0</v>
      </c>
      <c r="G389" s="17"/>
      <c r="H389" s="17">
        <f>IFERROR( VLOOKUP(B389,Descargas!$B$3:$I$94,8,FALSE),0)</f>
        <v>0</v>
      </c>
      <c r="K389" s="116">
        <f t="shared" si="29"/>
        <v>0</v>
      </c>
      <c r="L389" s="6"/>
      <c r="M389" s="6"/>
      <c r="N389" s="4"/>
    </row>
    <row r="390" spans="2:14" ht="12" customHeight="1">
      <c r="B390" s="116">
        <v>124</v>
      </c>
      <c r="C390" s="197"/>
      <c r="D390" s="177" t="s">
        <v>87</v>
      </c>
      <c r="E390" s="17">
        <f t="shared" si="30"/>
        <v>0</v>
      </c>
      <c r="F390" s="196">
        <f t="shared" si="31"/>
        <v>0</v>
      </c>
      <c r="G390" s="17"/>
      <c r="H390" s="17">
        <f>IFERROR( VLOOKUP(B390,Descargas!$B$3:$I$94,8,FALSE),0)</f>
        <v>0</v>
      </c>
      <c r="K390" s="116">
        <f t="shared" si="29"/>
        <v>0</v>
      </c>
      <c r="L390" s="6"/>
      <c r="M390" s="6"/>
      <c r="N390" s="4"/>
    </row>
    <row r="391" spans="2:14" ht="12" customHeight="1">
      <c r="B391" s="116">
        <v>125</v>
      </c>
      <c r="C391" s="197"/>
      <c r="D391" s="177" t="s">
        <v>177</v>
      </c>
      <c r="E391" s="17">
        <f>+SUM(H391:H391)</f>
        <v>0</v>
      </c>
      <c r="F391" s="196">
        <f t="shared" si="31"/>
        <v>0</v>
      </c>
      <c r="G391" s="17"/>
      <c r="H391" s="17">
        <f>IFERROR( VLOOKUP(B391,Descargas!$B$3:$I$94,8,FALSE),0)</f>
        <v>0</v>
      </c>
      <c r="K391" s="116">
        <f t="shared" si="29"/>
        <v>0</v>
      </c>
      <c r="L391" s="6"/>
      <c r="M391" s="6"/>
      <c r="N391" s="4"/>
    </row>
    <row r="392" spans="2:14" ht="12" customHeight="1">
      <c r="B392" s="116">
        <v>126</v>
      </c>
      <c r="C392" s="197"/>
      <c r="D392" s="177" t="s">
        <v>73</v>
      </c>
      <c r="E392" s="17">
        <f t="shared" si="30"/>
        <v>0</v>
      </c>
      <c r="F392" s="196">
        <f t="shared" si="31"/>
        <v>0</v>
      </c>
      <c r="G392" s="17"/>
      <c r="H392" s="17">
        <f>IFERROR( VLOOKUP(B392,Descargas!$B$3:$I$94,8,FALSE),0)</f>
        <v>0</v>
      </c>
      <c r="K392" s="116">
        <f t="shared" si="29"/>
        <v>0</v>
      </c>
      <c r="L392" s="6"/>
      <c r="M392" s="6"/>
      <c r="N392" s="4"/>
    </row>
    <row r="393" spans="2:14" ht="12" customHeight="1">
      <c r="B393" s="116">
        <v>127</v>
      </c>
      <c r="C393" s="197"/>
      <c r="D393" s="177" t="s">
        <v>178</v>
      </c>
      <c r="E393" s="17">
        <f t="shared" si="30"/>
        <v>0</v>
      </c>
      <c r="F393" s="196">
        <f t="shared" si="31"/>
        <v>0</v>
      </c>
      <c r="G393" s="17"/>
      <c r="H393" s="17">
        <f>IFERROR( VLOOKUP(B393,Descargas!$B$3:$I$94,8,FALSE),0)</f>
        <v>0</v>
      </c>
      <c r="K393" s="116">
        <f t="shared" si="29"/>
        <v>0</v>
      </c>
      <c r="L393" s="6"/>
      <c r="M393" s="6"/>
      <c r="N393" s="4"/>
    </row>
    <row r="394" spans="2:14" ht="12" customHeight="1">
      <c r="B394" s="116">
        <v>128</v>
      </c>
      <c r="C394" s="197"/>
      <c r="D394" s="177" t="s">
        <v>74</v>
      </c>
      <c r="E394" s="17">
        <f t="shared" si="30"/>
        <v>0</v>
      </c>
      <c r="F394" s="196">
        <f t="shared" si="31"/>
        <v>0</v>
      </c>
      <c r="G394" s="17"/>
      <c r="H394" s="17">
        <f>IFERROR( VLOOKUP(B394,Descargas!$B$3:$I$94,8,FALSE),0)</f>
        <v>0</v>
      </c>
      <c r="K394" s="116">
        <f t="shared" si="29"/>
        <v>0</v>
      </c>
      <c r="L394" s="6"/>
      <c r="M394" s="6"/>
      <c r="N394" s="4"/>
    </row>
    <row r="395" spans="2:14" ht="12" customHeight="1">
      <c r="B395" s="116">
        <v>129</v>
      </c>
      <c r="C395" s="197"/>
      <c r="D395" s="177" t="s">
        <v>179</v>
      </c>
      <c r="E395" s="17">
        <f t="shared" si="30"/>
        <v>0</v>
      </c>
      <c r="F395" s="196">
        <f t="shared" si="31"/>
        <v>0</v>
      </c>
      <c r="G395" s="17"/>
      <c r="H395" s="17">
        <f>IFERROR( VLOOKUP(B395,Descargas!$B$3:$I$94,8,FALSE),0)</f>
        <v>0</v>
      </c>
      <c r="K395" s="116">
        <f t="shared" si="29"/>
        <v>0</v>
      </c>
      <c r="L395" s="6"/>
      <c r="M395" s="6"/>
      <c r="N395" s="4"/>
    </row>
    <row r="396" spans="2:14">
      <c r="B396" s="116">
        <v>130</v>
      </c>
      <c r="C396" s="197"/>
      <c r="D396" s="177" t="s">
        <v>112</v>
      </c>
      <c r="E396" s="17">
        <f t="shared" ref="E396:E401" si="32">+SUM(H396:H396)</f>
        <v>0</v>
      </c>
      <c r="F396" s="196">
        <f t="shared" si="31"/>
        <v>0</v>
      </c>
      <c r="G396" s="17"/>
      <c r="H396" s="17">
        <f>IFERROR( VLOOKUP(B396,Descargas!$B$3:$I$94,8,FALSE),0)</f>
        <v>0</v>
      </c>
      <c r="K396" s="116">
        <f t="shared" si="29"/>
        <v>0</v>
      </c>
      <c r="L396" s="6"/>
      <c r="M396" s="6"/>
      <c r="N396" s="4"/>
    </row>
    <row r="397" spans="2:14">
      <c r="B397" s="116">
        <v>131</v>
      </c>
      <c r="C397" s="197"/>
      <c r="D397" s="177" t="s">
        <v>111</v>
      </c>
      <c r="E397" s="17">
        <f t="shared" si="32"/>
        <v>0</v>
      </c>
      <c r="F397" s="196">
        <f t="shared" si="31"/>
        <v>0</v>
      </c>
      <c r="G397" s="17"/>
      <c r="H397" s="17">
        <f>IFERROR( VLOOKUP(B397,Descargas!$B$3:$I$94,8,FALSE),0)</f>
        <v>0</v>
      </c>
      <c r="K397" s="116">
        <f t="shared" si="29"/>
        <v>0</v>
      </c>
      <c r="L397" s="6"/>
      <c r="M397" s="6"/>
      <c r="N397" s="4"/>
    </row>
    <row r="398" spans="2:14">
      <c r="B398" s="116">
        <v>132</v>
      </c>
      <c r="C398" s="197"/>
      <c r="D398" s="180" t="s">
        <v>78</v>
      </c>
      <c r="E398" s="17">
        <f t="shared" si="32"/>
        <v>0</v>
      </c>
      <c r="F398" s="196">
        <f t="shared" si="31"/>
        <v>0</v>
      </c>
      <c r="G398" s="17"/>
      <c r="H398" s="17">
        <f>IFERROR( VLOOKUP(B398,Descargas!$B$3:$I$94,8,FALSE),0)</f>
        <v>0</v>
      </c>
      <c r="K398" s="116">
        <f t="shared" si="29"/>
        <v>0</v>
      </c>
      <c r="L398" s="6"/>
      <c r="M398" s="6"/>
      <c r="N398" s="4"/>
    </row>
    <row r="399" spans="2:14">
      <c r="B399" s="116">
        <v>133</v>
      </c>
      <c r="C399" s="197"/>
      <c r="D399" s="180" t="s">
        <v>79</v>
      </c>
      <c r="E399" s="17">
        <f t="shared" si="32"/>
        <v>0</v>
      </c>
      <c r="F399" s="196">
        <f t="shared" si="31"/>
        <v>0</v>
      </c>
      <c r="G399" s="17"/>
      <c r="H399" s="17">
        <f>IFERROR( VLOOKUP(B399,Descargas!$B$3:$I$94,8,FALSE),0)</f>
        <v>0</v>
      </c>
      <c r="K399" s="116">
        <f t="shared" ref="K399:K462" si="33">+F399/$K$9</f>
        <v>0</v>
      </c>
      <c r="L399" s="6"/>
      <c r="M399" s="6"/>
      <c r="N399" s="4"/>
    </row>
    <row r="400" spans="2:14" ht="12" customHeight="1">
      <c r="B400" s="116">
        <v>136</v>
      </c>
      <c r="C400" s="197"/>
      <c r="D400" s="177" t="s">
        <v>80</v>
      </c>
      <c r="E400" s="17">
        <f t="shared" si="32"/>
        <v>0</v>
      </c>
      <c r="F400" s="196">
        <f t="shared" si="31"/>
        <v>0</v>
      </c>
      <c r="G400" s="17"/>
      <c r="H400" s="17">
        <f>IFERROR( VLOOKUP(B400,Descargas!$B$3:$I$94,8,FALSE),0)</f>
        <v>0</v>
      </c>
      <c r="K400" s="116">
        <f t="shared" si="33"/>
        <v>0</v>
      </c>
      <c r="L400" s="6"/>
      <c r="M400" s="6"/>
      <c r="N400" s="4"/>
    </row>
    <row r="401" spans="2:14">
      <c r="B401" s="116">
        <v>137</v>
      </c>
      <c r="C401" s="197"/>
      <c r="D401" s="177" t="s">
        <v>81</v>
      </c>
      <c r="E401" s="17">
        <f t="shared" si="32"/>
        <v>0</v>
      </c>
      <c r="F401" s="196">
        <f t="shared" si="31"/>
        <v>0</v>
      </c>
      <c r="G401" s="17"/>
      <c r="H401" s="17">
        <f>IFERROR( VLOOKUP(B401,Descargas!$B$3:$I$94,8,FALSE),0)</f>
        <v>0</v>
      </c>
      <c r="K401" s="116">
        <f t="shared" si="33"/>
        <v>0</v>
      </c>
      <c r="L401" s="6"/>
      <c r="M401" s="6"/>
      <c r="N401" s="4"/>
    </row>
    <row r="402" spans="2:14" ht="12" customHeight="1">
      <c r="B402" s="116">
        <v>138</v>
      </c>
      <c r="C402" s="197"/>
      <c r="D402" s="177" t="s">
        <v>82</v>
      </c>
      <c r="E402" s="17">
        <f t="shared" si="30"/>
        <v>0</v>
      </c>
      <c r="F402" s="196">
        <f t="shared" si="31"/>
        <v>0</v>
      </c>
      <c r="G402" s="17"/>
      <c r="H402" s="17">
        <f>IFERROR( VLOOKUP(B402,Descargas!$B$3:$I$94,8,FALSE),0)</f>
        <v>0</v>
      </c>
      <c r="K402" s="116">
        <f t="shared" si="33"/>
        <v>0</v>
      </c>
      <c r="L402" s="6"/>
      <c r="M402" s="6"/>
      <c r="N402" s="4"/>
    </row>
    <row r="403" spans="2:14" ht="12" customHeight="1">
      <c r="B403" s="116">
        <v>139</v>
      </c>
      <c r="C403" s="197"/>
      <c r="D403" s="177" t="s">
        <v>83</v>
      </c>
      <c r="E403" s="17">
        <f t="shared" si="30"/>
        <v>0</v>
      </c>
      <c r="F403" s="196">
        <f t="shared" si="31"/>
        <v>0</v>
      </c>
      <c r="G403" s="17"/>
      <c r="H403" s="17">
        <f>IFERROR( VLOOKUP(B403,Descargas!$B$3:$I$94,8,FALSE),0)</f>
        <v>0</v>
      </c>
      <c r="K403" s="116">
        <f t="shared" si="33"/>
        <v>0</v>
      </c>
      <c r="L403" s="6"/>
      <c r="M403" s="6"/>
      <c r="N403" s="4"/>
    </row>
    <row r="404" spans="2:14" ht="12" customHeight="1">
      <c r="B404" s="116">
        <v>140</v>
      </c>
      <c r="C404" s="197"/>
      <c r="D404" s="177" t="s">
        <v>180</v>
      </c>
      <c r="E404" s="17">
        <f t="shared" si="30"/>
        <v>0</v>
      </c>
      <c r="F404" s="196">
        <f t="shared" si="31"/>
        <v>0</v>
      </c>
      <c r="G404" s="17"/>
      <c r="H404" s="17">
        <f>IFERROR( VLOOKUP(B404,Descargas!$B$3:$I$94,8,FALSE),0)</f>
        <v>0</v>
      </c>
      <c r="K404" s="116">
        <f t="shared" si="33"/>
        <v>0</v>
      </c>
      <c r="L404" s="6"/>
      <c r="M404" s="6"/>
      <c r="N404" s="4"/>
    </row>
    <row r="405" spans="2:14" ht="12" customHeight="1">
      <c r="B405" s="116">
        <v>141</v>
      </c>
      <c r="C405" s="197"/>
      <c r="D405" s="177" t="s">
        <v>181</v>
      </c>
      <c r="E405" s="17">
        <f>+SUM(H405:H405)</f>
        <v>0</v>
      </c>
      <c r="F405" s="196">
        <f t="shared" si="31"/>
        <v>0</v>
      </c>
      <c r="G405" s="17"/>
      <c r="H405" s="17">
        <f>IFERROR( VLOOKUP(B405,Descargas!$B$3:$I$94,8,FALSE),0)</f>
        <v>0</v>
      </c>
      <c r="K405" s="116">
        <f t="shared" si="33"/>
        <v>0</v>
      </c>
      <c r="L405" s="6"/>
      <c r="M405" s="6"/>
      <c r="N405" s="4"/>
    </row>
    <row r="406" spans="2:14" ht="12" customHeight="1">
      <c r="B406" s="116">
        <v>142</v>
      </c>
      <c r="C406" s="197"/>
      <c r="D406" s="177" t="s">
        <v>182</v>
      </c>
      <c r="E406" s="17">
        <f t="shared" si="30"/>
        <v>0</v>
      </c>
      <c r="F406" s="196">
        <f t="shared" si="31"/>
        <v>0</v>
      </c>
      <c r="G406" s="17"/>
      <c r="H406" s="17">
        <f>IFERROR( VLOOKUP(B406,Descargas!$B$3:$I$94,8,FALSE),0)</f>
        <v>0</v>
      </c>
      <c r="K406" s="116">
        <f t="shared" si="33"/>
        <v>0</v>
      </c>
      <c r="L406" s="6"/>
      <c r="M406" s="6"/>
      <c r="N406" s="4"/>
    </row>
    <row r="407" spans="2:14" ht="12" customHeight="1">
      <c r="B407" s="116">
        <v>143</v>
      </c>
      <c r="C407" s="197"/>
      <c r="D407" s="177" t="s">
        <v>84</v>
      </c>
      <c r="E407" s="17">
        <f t="shared" si="30"/>
        <v>0</v>
      </c>
      <c r="F407" s="196">
        <f t="shared" si="31"/>
        <v>0</v>
      </c>
      <c r="G407" s="17"/>
      <c r="H407" s="17">
        <f>IFERROR( VLOOKUP(B407,Descargas!$B$3:$I$94,8,FALSE),0)</f>
        <v>0</v>
      </c>
      <c r="K407" s="116">
        <f t="shared" si="33"/>
        <v>0</v>
      </c>
      <c r="L407" s="6"/>
      <c r="M407" s="6"/>
      <c r="N407" s="4"/>
    </row>
    <row r="408" spans="2:14" ht="12" customHeight="1">
      <c r="B408" s="116">
        <v>145</v>
      </c>
      <c r="C408" s="197"/>
      <c r="D408" s="177" t="s">
        <v>183</v>
      </c>
      <c r="E408" s="17">
        <f t="shared" ref="E408:E472" si="34">+SUM(H408:H408)</f>
        <v>0</v>
      </c>
      <c r="F408" s="196">
        <f t="shared" ref="F408:F471" si="35">+SUM(H408:H408)</f>
        <v>0</v>
      </c>
      <c r="G408" s="17"/>
      <c r="H408" s="17">
        <f>IFERROR( VLOOKUP(B408,Descargas!$B$3:$I$94,8,FALSE),0)</f>
        <v>0</v>
      </c>
      <c r="K408" s="116">
        <f t="shared" si="33"/>
        <v>0</v>
      </c>
      <c r="L408" s="6"/>
      <c r="M408" s="6"/>
      <c r="N408" s="4"/>
    </row>
    <row r="409" spans="2:14" ht="12" customHeight="1">
      <c r="B409" s="116">
        <v>146</v>
      </c>
      <c r="C409" s="197"/>
      <c r="D409" s="177" t="s">
        <v>86</v>
      </c>
      <c r="E409" s="17">
        <f t="shared" si="34"/>
        <v>0</v>
      </c>
      <c r="F409" s="196">
        <f t="shared" si="35"/>
        <v>0</v>
      </c>
      <c r="G409" s="17"/>
      <c r="H409" s="17">
        <f>IFERROR( VLOOKUP(B409,Descargas!$B$3:$I$94,8,FALSE),0)</f>
        <v>0</v>
      </c>
      <c r="K409" s="116">
        <f t="shared" si="33"/>
        <v>0</v>
      </c>
      <c r="L409" s="6"/>
      <c r="M409" s="6"/>
      <c r="N409" s="4"/>
    </row>
    <row r="410" spans="2:14" ht="12" customHeight="1">
      <c r="B410" s="116">
        <v>149</v>
      </c>
      <c r="C410" s="197"/>
      <c r="D410" s="177" t="s">
        <v>89</v>
      </c>
      <c r="E410" s="17">
        <f t="shared" si="34"/>
        <v>0</v>
      </c>
      <c r="F410" s="196">
        <f t="shared" si="35"/>
        <v>0</v>
      </c>
      <c r="G410" s="17"/>
      <c r="H410" s="17">
        <f>IFERROR( VLOOKUP(B410,Descargas!$B$3:$I$94,8,FALSE),0)</f>
        <v>0</v>
      </c>
      <c r="K410" s="116">
        <f t="shared" si="33"/>
        <v>0</v>
      </c>
      <c r="L410" s="6"/>
      <c r="M410" s="6"/>
      <c r="N410" s="4"/>
    </row>
    <row r="411" spans="2:14" ht="12" customHeight="1">
      <c r="B411" s="116">
        <v>150</v>
      </c>
      <c r="C411" s="197"/>
      <c r="D411" s="177" t="s">
        <v>94</v>
      </c>
      <c r="E411" s="17">
        <f t="shared" si="34"/>
        <v>0</v>
      </c>
      <c r="F411" s="196">
        <f t="shared" si="35"/>
        <v>0</v>
      </c>
      <c r="G411" s="17"/>
      <c r="H411" s="17">
        <f>IFERROR( VLOOKUP(B411,Descargas!$B$3:$I$94,8,FALSE),0)</f>
        <v>0</v>
      </c>
      <c r="K411" s="116">
        <f t="shared" si="33"/>
        <v>0</v>
      </c>
      <c r="L411" s="6"/>
      <c r="M411" s="6"/>
      <c r="N411" s="4"/>
    </row>
    <row r="412" spans="2:14" ht="12" customHeight="1">
      <c r="B412" s="116">
        <v>151</v>
      </c>
      <c r="C412" s="197"/>
      <c r="D412" s="177" t="s">
        <v>90</v>
      </c>
      <c r="E412" s="17">
        <f t="shared" si="34"/>
        <v>0</v>
      </c>
      <c r="F412" s="196">
        <f t="shared" si="35"/>
        <v>0</v>
      </c>
      <c r="G412" s="17"/>
      <c r="H412" s="17">
        <f>IFERROR( VLOOKUP(B412,Descargas!$B$3:$I$94,8,FALSE),0)</f>
        <v>0</v>
      </c>
      <c r="K412" s="116">
        <f t="shared" si="33"/>
        <v>0</v>
      </c>
      <c r="L412" s="6"/>
      <c r="M412" s="6"/>
      <c r="N412" s="4"/>
    </row>
    <row r="413" spans="2:14" ht="12" customHeight="1">
      <c r="B413" s="116">
        <v>152</v>
      </c>
      <c r="C413" s="197"/>
      <c r="D413" s="177" t="s">
        <v>91</v>
      </c>
      <c r="E413" s="17">
        <f t="shared" si="34"/>
        <v>0</v>
      </c>
      <c r="F413" s="196">
        <f t="shared" si="35"/>
        <v>0</v>
      </c>
      <c r="G413" s="17"/>
      <c r="H413" s="17">
        <f>IFERROR( VLOOKUP(B413,Descargas!$B$3:$I$94,8,FALSE),0)</f>
        <v>0</v>
      </c>
      <c r="K413" s="116">
        <f t="shared" si="33"/>
        <v>0</v>
      </c>
      <c r="L413" s="6"/>
      <c r="M413" s="6"/>
      <c r="N413" s="4"/>
    </row>
    <row r="414" spans="2:14" ht="12" customHeight="1">
      <c r="B414" s="116">
        <v>153</v>
      </c>
      <c r="C414" s="197"/>
      <c r="D414" s="177" t="s">
        <v>92</v>
      </c>
      <c r="E414" s="17">
        <f t="shared" si="34"/>
        <v>0</v>
      </c>
      <c r="F414" s="196">
        <f t="shared" si="35"/>
        <v>0</v>
      </c>
      <c r="G414" s="17"/>
      <c r="H414" s="17">
        <f>IFERROR( VLOOKUP(B414,Descargas!$B$3:$I$94,8,FALSE),0)</f>
        <v>0</v>
      </c>
      <c r="K414" s="116">
        <f t="shared" si="33"/>
        <v>0</v>
      </c>
      <c r="L414" s="6"/>
      <c r="M414" s="6"/>
      <c r="N414" s="4"/>
    </row>
    <row r="415" spans="2:14" ht="12" customHeight="1">
      <c r="B415" s="116">
        <v>154</v>
      </c>
      <c r="C415" s="197"/>
      <c r="D415" s="177" t="s">
        <v>233</v>
      </c>
      <c r="E415" s="17">
        <f t="shared" si="34"/>
        <v>0</v>
      </c>
      <c r="F415" s="196">
        <f t="shared" si="35"/>
        <v>0</v>
      </c>
      <c r="G415" s="17"/>
      <c r="H415" s="17">
        <f>IFERROR( VLOOKUP(B415,Descargas!$B$3:$I$94,8,FALSE),0)</f>
        <v>0</v>
      </c>
      <c r="K415" s="116">
        <f t="shared" si="33"/>
        <v>0</v>
      </c>
      <c r="L415" s="6"/>
      <c r="M415" s="6"/>
      <c r="N415" s="4"/>
    </row>
    <row r="416" spans="2:14" ht="12" customHeight="1">
      <c r="B416" s="116">
        <v>155</v>
      </c>
      <c r="C416" s="197"/>
      <c r="D416" s="177" t="s">
        <v>234</v>
      </c>
      <c r="E416" s="17">
        <f t="shared" si="34"/>
        <v>0</v>
      </c>
      <c r="F416" s="196">
        <f t="shared" si="35"/>
        <v>0</v>
      </c>
      <c r="G416" s="17"/>
      <c r="H416" s="17">
        <f>IFERROR( VLOOKUP(B416,Descargas!$B$3:$I$94,8,FALSE),0)</f>
        <v>0</v>
      </c>
      <c r="K416" s="116">
        <f t="shared" si="33"/>
        <v>0</v>
      </c>
      <c r="L416" s="6"/>
      <c r="M416" s="6"/>
      <c r="N416" s="4"/>
    </row>
    <row r="417" spans="2:14" ht="12" customHeight="1">
      <c r="B417" s="116">
        <v>156</v>
      </c>
      <c r="C417" s="197"/>
      <c r="D417" s="180" t="s">
        <v>95</v>
      </c>
      <c r="E417" s="17">
        <f t="shared" si="34"/>
        <v>0</v>
      </c>
      <c r="F417" s="196">
        <f t="shared" si="35"/>
        <v>0</v>
      </c>
      <c r="G417" s="17"/>
      <c r="H417" s="17">
        <f>IFERROR( VLOOKUP(B417,Descargas!$B$3:$I$94,8,FALSE),0)</f>
        <v>0</v>
      </c>
      <c r="K417" s="116">
        <f t="shared" si="33"/>
        <v>0</v>
      </c>
      <c r="L417" s="6"/>
      <c r="M417" s="6"/>
      <c r="N417" s="4"/>
    </row>
    <row r="418" spans="2:14" ht="12" customHeight="1">
      <c r="B418" s="116">
        <v>157</v>
      </c>
      <c r="C418" s="197"/>
      <c r="D418" s="177" t="s">
        <v>100</v>
      </c>
      <c r="E418" s="17">
        <f t="shared" si="34"/>
        <v>0</v>
      </c>
      <c r="F418" s="196">
        <f t="shared" si="35"/>
        <v>0</v>
      </c>
      <c r="G418" s="17"/>
      <c r="H418" s="17">
        <f>IFERROR( VLOOKUP(B418,Descargas!$B$3:$I$94,8,FALSE),0)</f>
        <v>0</v>
      </c>
      <c r="K418" s="116">
        <f t="shared" si="33"/>
        <v>0</v>
      </c>
      <c r="L418" s="6"/>
      <c r="M418" s="6"/>
      <c r="N418" s="4"/>
    </row>
    <row r="419" spans="2:14" ht="12" customHeight="1">
      <c r="B419" s="116">
        <v>160</v>
      </c>
      <c r="C419" s="197"/>
      <c r="D419" s="177" t="s">
        <v>184</v>
      </c>
      <c r="E419" s="17">
        <f t="shared" si="34"/>
        <v>0</v>
      </c>
      <c r="F419" s="196">
        <f t="shared" si="35"/>
        <v>0</v>
      </c>
      <c r="G419" s="17"/>
      <c r="H419" s="17">
        <f>IFERROR( VLOOKUP(B419,Descargas!$B$3:$I$94,8,FALSE),0)</f>
        <v>0</v>
      </c>
      <c r="K419" s="116">
        <f t="shared" si="33"/>
        <v>0</v>
      </c>
      <c r="L419" s="6"/>
      <c r="M419" s="6"/>
      <c r="N419" s="4"/>
    </row>
    <row r="420" spans="2:14" ht="12" customHeight="1">
      <c r="B420" s="116">
        <v>161</v>
      </c>
      <c r="C420" s="197"/>
      <c r="D420" s="177" t="s">
        <v>106</v>
      </c>
      <c r="E420" s="17">
        <f t="shared" si="34"/>
        <v>0</v>
      </c>
      <c r="F420" s="196">
        <f t="shared" si="35"/>
        <v>0</v>
      </c>
      <c r="G420" s="17"/>
      <c r="H420" s="17">
        <f>IFERROR( VLOOKUP(B420,Descargas!$B$3:$I$94,8,FALSE),0)</f>
        <v>0</v>
      </c>
      <c r="K420" s="116">
        <f t="shared" si="33"/>
        <v>0</v>
      </c>
      <c r="L420" s="6"/>
      <c r="M420" s="6"/>
      <c r="N420" s="4"/>
    </row>
    <row r="421" spans="2:14">
      <c r="B421" s="116">
        <v>162</v>
      </c>
      <c r="C421" s="197"/>
      <c r="D421" s="180" t="s">
        <v>96</v>
      </c>
      <c r="E421" s="17">
        <f t="shared" si="34"/>
        <v>0</v>
      </c>
      <c r="F421" s="196">
        <f t="shared" si="35"/>
        <v>0</v>
      </c>
      <c r="G421" s="17"/>
      <c r="H421" s="17">
        <f>IFERROR( VLOOKUP(B421,Descargas!$B$3:$I$94,8,FALSE),0)</f>
        <v>0</v>
      </c>
      <c r="K421" s="116">
        <f t="shared" si="33"/>
        <v>0</v>
      </c>
      <c r="L421" s="6"/>
      <c r="M421" s="6"/>
      <c r="N421" s="4"/>
    </row>
    <row r="422" spans="2:14" ht="12" customHeight="1">
      <c r="B422" s="116">
        <v>163</v>
      </c>
      <c r="C422" s="197"/>
      <c r="D422" s="177" t="s">
        <v>97</v>
      </c>
      <c r="E422" s="17">
        <f t="shared" si="34"/>
        <v>0</v>
      </c>
      <c r="F422" s="196">
        <f t="shared" si="35"/>
        <v>0</v>
      </c>
      <c r="G422" s="17"/>
      <c r="H422" s="17">
        <f>IFERROR( VLOOKUP(B422,Descargas!$B$3:$I$94,8,FALSE),0)</f>
        <v>0</v>
      </c>
      <c r="K422" s="116">
        <f t="shared" si="33"/>
        <v>0</v>
      </c>
      <c r="L422" s="6"/>
      <c r="M422" s="6"/>
      <c r="N422" s="4"/>
    </row>
    <row r="423" spans="2:14" ht="12" customHeight="1">
      <c r="B423" s="116">
        <v>164</v>
      </c>
      <c r="C423" s="197"/>
      <c r="D423" s="177" t="s">
        <v>98</v>
      </c>
      <c r="E423" s="17">
        <f t="shared" si="34"/>
        <v>0</v>
      </c>
      <c r="F423" s="196">
        <f t="shared" si="35"/>
        <v>0</v>
      </c>
      <c r="G423" s="17"/>
      <c r="H423" s="17">
        <f>IFERROR( VLOOKUP(B423,Descargas!$B$3:$I$94,8,FALSE),0)</f>
        <v>0</v>
      </c>
      <c r="K423" s="116">
        <f t="shared" si="33"/>
        <v>0</v>
      </c>
      <c r="L423" s="6"/>
      <c r="M423" s="6"/>
      <c r="N423" s="4"/>
    </row>
    <row r="424" spans="2:14" ht="12" customHeight="1">
      <c r="B424" s="116">
        <v>165</v>
      </c>
      <c r="C424" s="197"/>
      <c r="D424" s="177" t="s">
        <v>113</v>
      </c>
      <c r="E424" s="17">
        <f t="shared" si="34"/>
        <v>0</v>
      </c>
      <c r="F424" s="196">
        <f t="shared" si="35"/>
        <v>0</v>
      </c>
      <c r="G424" s="17"/>
      <c r="H424" s="17">
        <f>IFERROR( VLOOKUP(B424,Descargas!$B$3:$I$94,8,FALSE),0)</f>
        <v>0</v>
      </c>
      <c r="K424" s="116">
        <f t="shared" si="33"/>
        <v>0</v>
      </c>
      <c r="L424" s="6"/>
      <c r="M424" s="6"/>
      <c r="N424" s="4"/>
    </row>
    <row r="425" spans="2:14" ht="12" customHeight="1">
      <c r="B425" s="116">
        <v>166</v>
      </c>
      <c r="C425" s="197"/>
      <c r="D425" s="177" t="s">
        <v>235</v>
      </c>
      <c r="E425" s="17">
        <f t="shared" si="34"/>
        <v>0</v>
      </c>
      <c r="F425" s="196">
        <f t="shared" si="35"/>
        <v>0</v>
      </c>
      <c r="G425" s="17"/>
      <c r="H425" s="17">
        <f>IFERROR( VLOOKUP(B425,Descargas!$B$3:$I$94,8,FALSE),0)</f>
        <v>0</v>
      </c>
      <c r="K425" s="116">
        <f t="shared" si="33"/>
        <v>0</v>
      </c>
      <c r="L425" s="6"/>
      <c r="M425" s="6"/>
      <c r="N425" s="4"/>
    </row>
    <row r="426" spans="2:14" ht="12" customHeight="1">
      <c r="B426" s="116">
        <v>167</v>
      </c>
      <c r="C426" s="197"/>
      <c r="D426" s="177" t="s">
        <v>236</v>
      </c>
      <c r="E426" s="17">
        <f t="shared" si="34"/>
        <v>0</v>
      </c>
      <c r="F426" s="196">
        <f t="shared" si="35"/>
        <v>0</v>
      </c>
      <c r="G426" s="17"/>
      <c r="H426" s="17">
        <f>IFERROR( VLOOKUP(B426,Descargas!$B$3:$I$94,8,FALSE),0)</f>
        <v>0</v>
      </c>
      <c r="K426" s="116">
        <f t="shared" si="33"/>
        <v>0</v>
      </c>
      <c r="L426" s="6"/>
      <c r="M426" s="6"/>
      <c r="N426" s="4"/>
    </row>
    <row r="427" spans="2:14" ht="12" customHeight="1">
      <c r="B427" s="116">
        <v>168</v>
      </c>
      <c r="C427" s="197"/>
      <c r="D427" s="177" t="s">
        <v>99</v>
      </c>
      <c r="E427" s="17">
        <f t="shared" si="34"/>
        <v>0</v>
      </c>
      <c r="F427" s="196">
        <f t="shared" si="35"/>
        <v>0</v>
      </c>
      <c r="G427" s="17"/>
      <c r="H427" s="17">
        <f>IFERROR( VLOOKUP(B427,Descargas!$B$3:$I$94,8,FALSE),0)</f>
        <v>0</v>
      </c>
      <c r="K427" s="116">
        <f t="shared" si="33"/>
        <v>0</v>
      </c>
      <c r="L427" s="6"/>
      <c r="M427" s="6"/>
      <c r="N427" s="4"/>
    </row>
    <row r="428" spans="2:14">
      <c r="B428" s="116">
        <v>169</v>
      </c>
      <c r="C428" s="197"/>
      <c r="D428" s="180" t="s">
        <v>135</v>
      </c>
      <c r="E428" s="18">
        <f t="shared" si="34"/>
        <v>0</v>
      </c>
      <c r="F428" s="196">
        <f t="shared" si="35"/>
        <v>0</v>
      </c>
      <c r="G428" s="17"/>
      <c r="H428" s="17">
        <f>IFERROR( VLOOKUP(B428,Descargas!$B$3:$I$94,8,FALSE),0)</f>
        <v>0</v>
      </c>
      <c r="K428" s="116">
        <f t="shared" si="33"/>
        <v>0</v>
      </c>
      <c r="L428" s="6"/>
      <c r="M428" s="6"/>
      <c r="N428" s="4"/>
    </row>
    <row r="429" spans="2:14">
      <c r="B429" s="116">
        <v>170</v>
      </c>
      <c r="C429" s="197"/>
      <c r="D429" s="177" t="s">
        <v>185</v>
      </c>
      <c r="E429" s="17">
        <f t="shared" si="34"/>
        <v>0</v>
      </c>
      <c r="F429" s="196">
        <f t="shared" si="35"/>
        <v>0</v>
      </c>
      <c r="G429" s="17"/>
      <c r="H429" s="17">
        <f>IFERROR( VLOOKUP(B429,Descargas!$B$3:$I$94,8,FALSE),0)</f>
        <v>0</v>
      </c>
      <c r="K429" s="116">
        <f t="shared" si="33"/>
        <v>0</v>
      </c>
      <c r="L429" s="6"/>
      <c r="M429" s="6"/>
      <c r="N429" s="4"/>
    </row>
    <row r="430" spans="2:14" ht="12" customHeight="1">
      <c r="B430" s="116">
        <v>171</v>
      </c>
      <c r="C430" s="197"/>
      <c r="D430" s="177" t="s">
        <v>136</v>
      </c>
      <c r="E430" s="17">
        <f t="shared" si="34"/>
        <v>0</v>
      </c>
      <c r="F430" s="196">
        <f t="shared" si="35"/>
        <v>0</v>
      </c>
      <c r="G430" s="17"/>
      <c r="H430" s="17">
        <f>IFERROR( VLOOKUP(B430,Descargas!$B$3:$I$94,8,FALSE),0)</f>
        <v>0</v>
      </c>
      <c r="K430" s="116">
        <f t="shared" si="33"/>
        <v>0</v>
      </c>
      <c r="L430" s="6"/>
      <c r="M430" s="6"/>
      <c r="N430" s="4"/>
    </row>
    <row r="431" spans="2:14" ht="12" customHeight="1">
      <c r="B431" s="116">
        <v>172</v>
      </c>
      <c r="C431" s="197"/>
      <c r="D431" s="177" t="s">
        <v>114</v>
      </c>
      <c r="E431" s="17">
        <f t="shared" si="34"/>
        <v>0</v>
      </c>
      <c r="F431" s="196">
        <f t="shared" si="35"/>
        <v>0</v>
      </c>
      <c r="G431" s="17"/>
      <c r="H431" s="17">
        <f>IFERROR( VLOOKUP(B431,Descargas!$B$3:$I$94,8,FALSE),0)</f>
        <v>0</v>
      </c>
      <c r="K431" s="116">
        <f t="shared" si="33"/>
        <v>0</v>
      </c>
      <c r="L431" s="6"/>
      <c r="M431" s="6"/>
      <c r="N431" s="4"/>
    </row>
    <row r="432" spans="2:14">
      <c r="B432" s="116">
        <v>173</v>
      </c>
      <c r="C432" s="197"/>
      <c r="D432" s="18" t="s">
        <v>115</v>
      </c>
      <c r="E432" s="17">
        <f t="shared" si="34"/>
        <v>0</v>
      </c>
      <c r="F432" s="196">
        <f t="shared" si="35"/>
        <v>0</v>
      </c>
      <c r="G432" s="17"/>
      <c r="H432" s="17">
        <f>IFERROR( VLOOKUP(B432,Descargas!$B$3:$I$94,8,FALSE),0)</f>
        <v>0</v>
      </c>
      <c r="K432" s="116">
        <f t="shared" si="33"/>
        <v>0</v>
      </c>
      <c r="L432" s="6"/>
      <c r="M432" s="6"/>
      <c r="N432" s="4"/>
    </row>
    <row r="433" spans="2:14" ht="12" customHeight="1">
      <c r="B433" s="116">
        <v>174</v>
      </c>
      <c r="C433" s="197"/>
      <c r="D433" s="177" t="s">
        <v>116</v>
      </c>
      <c r="E433" s="17">
        <f t="shared" si="34"/>
        <v>0</v>
      </c>
      <c r="F433" s="196">
        <f t="shared" si="35"/>
        <v>0</v>
      </c>
      <c r="G433" s="17"/>
      <c r="H433" s="17">
        <f>IFERROR( VLOOKUP(B433,Descargas!$B$3:$I$94,8,FALSE),0)</f>
        <v>0</v>
      </c>
      <c r="K433" s="116">
        <f t="shared" si="33"/>
        <v>0</v>
      </c>
      <c r="L433" s="6"/>
      <c r="M433" s="6"/>
      <c r="N433" s="4"/>
    </row>
    <row r="434" spans="2:14" ht="12" customHeight="1">
      <c r="B434" s="116">
        <v>175</v>
      </c>
      <c r="C434" s="197"/>
      <c r="D434" s="177" t="s">
        <v>117</v>
      </c>
      <c r="E434" s="17">
        <f t="shared" si="34"/>
        <v>0</v>
      </c>
      <c r="F434" s="196">
        <f t="shared" si="35"/>
        <v>0</v>
      </c>
      <c r="G434" s="17"/>
      <c r="H434" s="17">
        <f>IFERROR( VLOOKUP(B434,Descargas!$B$3:$I$94,8,FALSE),0)</f>
        <v>0</v>
      </c>
      <c r="K434" s="116">
        <f t="shared" si="33"/>
        <v>0</v>
      </c>
      <c r="L434" s="6"/>
      <c r="M434" s="6"/>
      <c r="N434" s="4"/>
    </row>
    <row r="435" spans="2:14" ht="12" customHeight="1">
      <c r="B435" s="116">
        <v>176</v>
      </c>
      <c r="C435" s="197"/>
      <c r="D435" s="177" t="s">
        <v>104</v>
      </c>
      <c r="E435" s="17">
        <f t="shared" si="34"/>
        <v>0</v>
      </c>
      <c r="F435" s="196">
        <f t="shared" si="35"/>
        <v>0</v>
      </c>
      <c r="G435" s="17"/>
      <c r="H435" s="17">
        <f>IFERROR( VLOOKUP(B435,Descargas!$B$3:$I$94,8,FALSE),0)</f>
        <v>0</v>
      </c>
      <c r="K435" s="116">
        <f t="shared" si="33"/>
        <v>0</v>
      </c>
      <c r="L435" s="6"/>
      <c r="M435" s="6"/>
      <c r="N435" s="4"/>
    </row>
    <row r="436" spans="2:14" ht="12" customHeight="1">
      <c r="B436" s="116">
        <v>177</v>
      </c>
      <c r="C436" s="197"/>
      <c r="D436" s="177" t="s">
        <v>186</v>
      </c>
      <c r="E436" s="17">
        <f t="shared" si="34"/>
        <v>0</v>
      </c>
      <c r="F436" s="196">
        <f t="shared" si="35"/>
        <v>0</v>
      </c>
      <c r="G436" s="17"/>
      <c r="H436" s="17">
        <f>IFERROR( VLOOKUP(B436,Descargas!$B$3:$I$94,8,FALSE),0)</f>
        <v>0</v>
      </c>
      <c r="K436" s="116">
        <f t="shared" si="33"/>
        <v>0</v>
      </c>
      <c r="L436" s="6"/>
      <c r="M436" s="6"/>
      <c r="N436" s="4"/>
    </row>
    <row r="437" spans="2:14" ht="12" customHeight="1">
      <c r="B437" s="116">
        <v>178</v>
      </c>
      <c r="C437" s="197"/>
      <c r="D437" s="177" t="s">
        <v>187</v>
      </c>
      <c r="E437" s="17">
        <f t="shared" si="34"/>
        <v>0</v>
      </c>
      <c r="F437" s="196">
        <f t="shared" si="35"/>
        <v>0</v>
      </c>
      <c r="G437" s="17"/>
      <c r="H437" s="17">
        <f>IFERROR( VLOOKUP(B437,Descargas!$B$3:$I$94,8,FALSE),0)</f>
        <v>0</v>
      </c>
      <c r="K437" s="116">
        <f t="shared" si="33"/>
        <v>0</v>
      </c>
      <c r="L437" s="6"/>
      <c r="M437" s="6"/>
      <c r="N437" s="4"/>
    </row>
    <row r="438" spans="2:14" ht="12" customHeight="1">
      <c r="B438" s="116">
        <v>179</v>
      </c>
      <c r="C438" s="197"/>
      <c r="D438" s="177" t="s">
        <v>105</v>
      </c>
      <c r="E438" s="17">
        <f t="shared" si="34"/>
        <v>0</v>
      </c>
      <c r="F438" s="196">
        <f t="shared" si="35"/>
        <v>0</v>
      </c>
      <c r="G438" s="17"/>
      <c r="H438" s="17">
        <f>IFERROR( VLOOKUP(B438,Descargas!$B$3:$I$94,8,FALSE),0)</f>
        <v>0</v>
      </c>
      <c r="K438" s="116">
        <f t="shared" si="33"/>
        <v>0</v>
      </c>
      <c r="L438" s="6"/>
      <c r="M438" s="6"/>
      <c r="N438" s="4"/>
    </row>
    <row r="439" spans="2:14" ht="12" customHeight="1">
      <c r="B439" s="116">
        <v>180</v>
      </c>
      <c r="C439" s="197"/>
      <c r="D439" s="177" t="s">
        <v>118</v>
      </c>
      <c r="E439" s="17">
        <f t="shared" si="34"/>
        <v>0</v>
      </c>
      <c r="F439" s="196">
        <f t="shared" si="35"/>
        <v>0</v>
      </c>
      <c r="G439" s="17"/>
      <c r="H439" s="17">
        <f>IFERROR( VLOOKUP(B439,Descargas!$B$3:$I$94,8,FALSE),0)</f>
        <v>0</v>
      </c>
      <c r="K439" s="116">
        <f t="shared" si="33"/>
        <v>0</v>
      </c>
      <c r="L439" s="6"/>
      <c r="M439" s="6"/>
      <c r="N439" s="4"/>
    </row>
    <row r="440" spans="2:14" ht="12" customHeight="1">
      <c r="B440" s="116">
        <v>182</v>
      </c>
      <c r="C440" s="197"/>
      <c r="D440" s="177" t="s">
        <v>119</v>
      </c>
      <c r="E440" s="17">
        <f t="shared" si="34"/>
        <v>0</v>
      </c>
      <c r="F440" s="196">
        <f t="shared" si="35"/>
        <v>0</v>
      </c>
      <c r="G440" s="17"/>
      <c r="H440" s="17">
        <f>IFERROR( VLOOKUP(B440,Descargas!$B$3:$I$94,8,FALSE),0)</f>
        <v>0</v>
      </c>
      <c r="K440" s="116">
        <f t="shared" si="33"/>
        <v>0</v>
      </c>
      <c r="L440" s="6"/>
      <c r="M440" s="6"/>
      <c r="N440" s="4"/>
    </row>
    <row r="441" spans="2:14">
      <c r="B441" s="116">
        <v>183</v>
      </c>
      <c r="C441" s="197"/>
      <c r="D441" s="180" t="s">
        <v>188</v>
      </c>
      <c r="E441" s="17">
        <f t="shared" si="34"/>
        <v>0</v>
      </c>
      <c r="F441" s="196">
        <f t="shared" si="35"/>
        <v>0</v>
      </c>
      <c r="G441" s="17"/>
      <c r="H441" s="17">
        <f>IFERROR( VLOOKUP(B441,Descargas!$B$3:$I$94,8,FALSE),0)</f>
        <v>0</v>
      </c>
      <c r="K441" s="116">
        <f t="shared" si="33"/>
        <v>0</v>
      </c>
      <c r="L441" s="6"/>
      <c r="M441" s="6"/>
      <c r="N441" s="4"/>
    </row>
    <row r="442" spans="2:14" ht="12" customHeight="1">
      <c r="B442" s="116">
        <v>184</v>
      </c>
      <c r="C442" s="197"/>
      <c r="D442" s="177" t="s">
        <v>189</v>
      </c>
      <c r="E442" s="17">
        <f t="shared" si="34"/>
        <v>0</v>
      </c>
      <c r="F442" s="196">
        <f t="shared" si="35"/>
        <v>0</v>
      </c>
      <c r="G442" s="17"/>
      <c r="H442" s="17">
        <f>IFERROR( VLOOKUP(B442,Descargas!$B$3:$I$94,8,FALSE),0)</f>
        <v>0</v>
      </c>
      <c r="K442" s="116">
        <f t="shared" si="33"/>
        <v>0</v>
      </c>
      <c r="L442" s="6"/>
      <c r="M442" s="6"/>
      <c r="N442" s="4"/>
    </row>
    <row r="443" spans="2:14" ht="12" customHeight="1">
      <c r="B443" s="116">
        <v>185</v>
      </c>
      <c r="C443" s="197"/>
      <c r="D443" s="177">
        <v>185</v>
      </c>
      <c r="E443" s="17">
        <f t="shared" si="34"/>
        <v>0</v>
      </c>
      <c r="F443" s="196">
        <f t="shared" si="35"/>
        <v>0</v>
      </c>
      <c r="G443" s="17"/>
      <c r="H443" s="17">
        <f>IFERROR( VLOOKUP(B443,Descargas!$B$3:$I$94,8,FALSE),0)</f>
        <v>0</v>
      </c>
      <c r="K443" s="116">
        <f t="shared" si="33"/>
        <v>0</v>
      </c>
      <c r="L443" s="6"/>
      <c r="M443" s="6"/>
      <c r="N443" s="4"/>
    </row>
    <row r="444" spans="2:14" ht="12" customHeight="1">
      <c r="B444" s="116">
        <v>187</v>
      </c>
      <c r="C444" s="197"/>
      <c r="D444" s="177" t="s">
        <v>120</v>
      </c>
      <c r="E444" s="17">
        <f t="shared" si="34"/>
        <v>0</v>
      </c>
      <c r="F444" s="196">
        <f t="shared" si="35"/>
        <v>0</v>
      </c>
      <c r="G444" s="17"/>
      <c r="H444" s="17">
        <f>IFERROR( VLOOKUP(B444,Descargas!$B$3:$I$94,8,FALSE),0)</f>
        <v>0</v>
      </c>
      <c r="K444" s="116">
        <f t="shared" si="33"/>
        <v>0</v>
      </c>
      <c r="L444" s="6"/>
      <c r="M444" s="6"/>
      <c r="N444" s="4"/>
    </row>
    <row r="445" spans="2:14" ht="12" customHeight="1">
      <c r="B445" s="116">
        <v>188</v>
      </c>
      <c r="C445" s="197"/>
      <c r="D445" s="180" t="s">
        <v>121</v>
      </c>
      <c r="E445" s="17">
        <f>+SUM(H445:H445)</f>
        <v>0</v>
      </c>
      <c r="F445" s="196">
        <f t="shared" si="35"/>
        <v>0</v>
      </c>
      <c r="G445" s="17"/>
      <c r="H445" s="17">
        <f>IFERROR( VLOOKUP(B445,Descargas!$B$3:$I$94,8,FALSE),0)</f>
        <v>0</v>
      </c>
      <c r="K445" s="116">
        <f t="shared" si="33"/>
        <v>0</v>
      </c>
      <c r="L445" s="6"/>
      <c r="M445" s="6"/>
      <c r="N445" s="4"/>
    </row>
    <row r="446" spans="2:14" ht="12" customHeight="1">
      <c r="B446" s="116">
        <v>189</v>
      </c>
      <c r="C446" s="197"/>
      <c r="D446" s="180" t="s">
        <v>122</v>
      </c>
      <c r="E446" s="17">
        <f>+SUM(H446:H446)</f>
        <v>0</v>
      </c>
      <c r="F446" s="196">
        <f t="shared" si="35"/>
        <v>0</v>
      </c>
      <c r="G446" s="17"/>
      <c r="H446" s="17">
        <f>IFERROR( VLOOKUP(B446,Descargas!$B$3:$I$94,8,FALSE),0)</f>
        <v>0</v>
      </c>
      <c r="K446" s="116">
        <f t="shared" si="33"/>
        <v>0</v>
      </c>
      <c r="L446" s="6"/>
      <c r="M446" s="6"/>
      <c r="N446" s="4"/>
    </row>
    <row r="447" spans="2:14" ht="12" customHeight="1">
      <c r="B447" s="116">
        <v>190</v>
      </c>
      <c r="C447" s="197"/>
      <c r="D447" s="177" t="s">
        <v>123</v>
      </c>
      <c r="E447" s="17">
        <f t="shared" si="34"/>
        <v>0</v>
      </c>
      <c r="F447" s="196">
        <f t="shared" si="35"/>
        <v>0</v>
      </c>
      <c r="G447" s="17"/>
      <c r="H447" s="17">
        <f>IFERROR( VLOOKUP(B447,Descargas!$B$3:$I$94,8,FALSE),0)</f>
        <v>0</v>
      </c>
      <c r="K447" s="116">
        <f t="shared" si="33"/>
        <v>0</v>
      </c>
      <c r="L447" s="6"/>
      <c r="M447" s="6"/>
      <c r="N447" s="4"/>
    </row>
    <row r="448" spans="2:14" ht="12" customHeight="1">
      <c r="B448" s="116">
        <v>191</v>
      </c>
      <c r="C448" s="197"/>
      <c r="D448" s="177" t="s">
        <v>190</v>
      </c>
      <c r="E448" s="17">
        <f t="shared" si="34"/>
        <v>0</v>
      </c>
      <c r="F448" s="196">
        <f t="shared" si="35"/>
        <v>0</v>
      </c>
      <c r="G448" s="17"/>
      <c r="H448" s="17">
        <f>IFERROR( VLOOKUP(B448,Descargas!$B$3:$I$94,8,FALSE),0)</f>
        <v>0</v>
      </c>
      <c r="K448" s="116">
        <f t="shared" si="33"/>
        <v>0</v>
      </c>
      <c r="L448" s="6"/>
      <c r="M448" s="6"/>
      <c r="N448" s="4"/>
    </row>
    <row r="449" spans="2:25" ht="12" customHeight="1">
      <c r="B449" s="116">
        <v>192</v>
      </c>
      <c r="C449" s="197"/>
      <c r="D449" s="180" t="s">
        <v>124</v>
      </c>
      <c r="E449" s="17">
        <f>+SUM(H449:H449)</f>
        <v>0</v>
      </c>
      <c r="F449" s="196">
        <f t="shared" si="35"/>
        <v>0</v>
      </c>
      <c r="G449" s="17"/>
      <c r="H449" s="17">
        <f>IFERROR( VLOOKUP(B449,Descargas!$B$3:$I$94,8,FALSE),0)</f>
        <v>0</v>
      </c>
      <c r="K449" s="116">
        <f t="shared" si="33"/>
        <v>0</v>
      </c>
      <c r="L449" s="6"/>
      <c r="M449" s="6"/>
      <c r="N449" s="4"/>
    </row>
    <row r="450" spans="2:25" ht="12" customHeight="1">
      <c r="B450" s="116">
        <v>193</v>
      </c>
      <c r="C450" s="197"/>
      <c r="D450" s="177" t="s">
        <v>191</v>
      </c>
      <c r="E450" s="17">
        <f t="shared" si="34"/>
        <v>0</v>
      </c>
      <c r="F450" s="196">
        <f t="shared" si="35"/>
        <v>0</v>
      </c>
      <c r="G450" s="17"/>
      <c r="H450" s="17">
        <f>IFERROR( VLOOKUP(B450,Descargas!$B$3:$I$94,8,FALSE),0)</f>
        <v>0</v>
      </c>
      <c r="K450" s="116">
        <f t="shared" si="33"/>
        <v>0</v>
      </c>
      <c r="L450" s="6"/>
      <c r="M450" s="6"/>
      <c r="N450" s="4"/>
    </row>
    <row r="451" spans="2:25" ht="12" customHeight="1">
      <c r="B451" s="116">
        <v>195</v>
      </c>
      <c r="C451" s="197"/>
      <c r="D451" s="177" t="s">
        <v>125</v>
      </c>
      <c r="E451" s="17">
        <f t="shared" si="34"/>
        <v>0</v>
      </c>
      <c r="F451" s="196">
        <f t="shared" si="35"/>
        <v>0</v>
      </c>
      <c r="G451" s="17"/>
      <c r="H451" s="17">
        <f>IFERROR( VLOOKUP(B451,Descargas!$B$3:$I$94,8,FALSE),0)</f>
        <v>0</v>
      </c>
      <c r="K451" s="116">
        <f t="shared" si="33"/>
        <v>0</v>
      </c>
      <c r="L451" s="6"/>
      <c r="M451" s="6"/>
      <c r="N451" s="4"/>
    </row>
    <row r="452" spans="2:25" ht="12" customHeight="1">
      <c r="B452" s="116">
        <v>196</v>
      </c>
      <c r="C452" s="197"/>
      <c r="D452" s="177" t="s">
        <v>129</v>
      </c>
      <c r="E452" s="17">
        <f t="shared" si="34"/>
        <v>0</v>
      </c>
      <c r="F452" s="196">
        <f t="shared" si="35"/>
        <v>0</v>
      </c>
      <c r="G452" s="17"/>
      <c r="H452" s="17">
        <f>IFERROR( VLOOKUP(B452,Descargas!$B$3:$I$94,8,FALSE),0)</f>
        <v>0</v>
      </c>
      <c r="K452" s="116">
        <f t="shared" si="33"/>
        <v>0</v>
      </c>
      <c r="L452" s="6"/>
      <c r="M452" s="6"/>
      <c r="N452" s="4"/>
    </row>
    <row r="453" spans="2:25" ht="12" customHeight="1">
      <c r="B453" s="116">
        <v>197</v>
      </c>
      <c r="C453" s="197"/>
      <c r="D453" s="189" t="s">
        <v>128</v>
      </c>
      <c r="E453" s="17">
        <f t="shared" si="34"/>
        <v>0</v>
      </c>
      <c r="F453" s="196">
        <f t="shared" si="35"/>
        <v>0</v>
      </c>
      <c r="G453" s="17"/>
      <c r="H453" s="17">
        <f>IFERROR( VLOOKUP(B453,Descargas!$B$3:$I$94,8,FALSE),0)</f>
        <v>0</v>
      </c>
      <c r="K453" s="116">
        <f t="shared" si="33"/>
        <v>0</v>
      </c>
      <c r="L453" s="6"/>
      <c r="M453" s="6"/>
      <c r="N453" s="4"/>
    </row>
    <row r="454" spans="2:25" ht="12" customHeight="1">
      <c r="B454" s="116">
        <v>198</v>
      </c>
      <c r="C454" s="197"/>
      <c r="D454" s="189" t="s">
        <v>275</v>
      </c>
      <c r="E454" s="17">
        <f t="shared" si="34"/>
        <v>0</v>
      </c>
      <c r="F454" s="196">
        <f t="shared" si="35"/>
        <v>0</v>
      </c>
      <c r="G454" s="17"/>
      <c r="H454" s="17">
        <f>IFERROR( VLOOKUP(B454,Descargas!$B$3:$I$94,8,FALSE),0)</f>
        <v>0</v>
      </c>
      <c r="K454" s="116">
        <f t="shared" si="33"/>
        <v>0</v>
      </c>
      <c r="L454" s="6"/>
      <c r="M454" s="6"/>
      <c r="N454" s="4"/>
    </row>
    <row r="455" spans="2:25" ht="12" customHeight="1">
      <c r="B455" s="116">
        <v>199</v>
      </c>
      <c r="C455" s="197"/>
      <c r="D455" s="180" t="s">
        <v>130</v>
      </c>
      <c r="E455" s="17">
        <f t="shared" si="34"/>
        <v>0</v>
      </c>
      <c r="F455" s="196">
        <f t="shared" si="35"/>
        <v>0</v>
      </c>
      <c r="G455" s="17"/>
      <c r="H455" s="17">
        <f>IFERROR( VLOOKUP(B455,Descargas!$B$3:$I$94,8,FALSE),0)</f>
        <v>0</v>
      </c>
      <c r="K455" s="116">
        <f t="shared" si="33"/>
        <v>0</v>
      </c>
      <c r="L455" s="6"/>
      <c r="M455" s="6"/>
      <c r="N455" s="4"/>
    </row>
    <row r="456" spans="2:25" ht="12" customHeight="1">
      <c r="B456" s="116">
        <v>200</v>
      </c>
      <c r="C456" s="197"/>
      <c r="D456" s="189" t="s">
        <v>126</v>
      </c>
      <c r="E456" s="17">
        <f t="shared" si="34"/>
        <v>0</v>
      </c>
      <c r="F456" s="196">
        <f t="shared" si="35"/>
        <v>0</v>
      </c>
      <c r="G456" s="17"/>
      <c r="H456" s="17">
        <f>IFERROR( VLOOKUP(B456,Descargas!$B$3:$I$94,8,FALSE),0)</f>
        <v>0</v>
      </c>
      <c r="K456" s="116">
        <f t="shared" si="33"/>
        <v>0</v>
      </c>
      <c r="L456" s="6"/>
      <c r="M456" s="6"/>
      <c r="N456" s="4"/>
    </row>
    <row r="457" spans="2:25" ht="12" customHeight="1">
      <c r="B457" s="116">
        <v>202</v>
      </c>
      <c r="C457" s="197"/>
      <c r="D457" s="189" t="s">
        <v>127</v>
      </c>
      <c r="E457" s="17">
        <f t="shared" si="34"/>
        <v>0</v>
      </c>
      <c r="F457" s="196">
        <f t="shared" si="35"/>
        <v>0</v>
      </c>
      <c r="G457" s="17"/>
      <c r="H457" s="17">
        <f>IFERROR( VLOOKUP(B457,Descargas!$B$3:$I$94,8,FALSE),0)</f>
        <v>0</v>
      </c>
      <c r="K457" s="116">
        <f t="shared" si="33"/>
        <v>0</v>
      </c>
      <c r="L457" s="6"/>
      <c r="M457" s="6"/>
      <c r="N457" s="4"/>
    </row>
    <row r="458" spans="2:25" ht="12" customHeight="1">
      <c r="B458" s="116">
        <v>203</v>
      </c>
      <c r="C458" s="197"/>
      <c r="D458" s="189" t="s">
        <v>131</v>
      </c>
      <c r="E458" s="17">
        <f t="shared" si="34"/>
        <v>0</v>
      </c>
      <c r="F458" s="196">
        <f t="shared" si="35"/>
        <v>0</v>
      </c>
      <c r="G458" s="17"/>
      <c r="H458" s="17">
        <f>IFERROR( VLOOKUP(B458,Descargas!$B$3:$I$94,8,FALSE),0)</f>
        <v>0</v>
      </c>
      <c r="K458" s="116">
        <f t="shared" si="33"/>
        <v>0</v>
      </c>
      <c r="L458" s="6"/>
      <c r="M458" s="6"/>
      <c r="N458" s="4"/>
    </row>
    <row r="459" spans="2:25" ht="12" customHeight="1">
      <c r="B459" s="116">
        <v>204</v>
      </c>
      <c r="C459" s="197"/>
      <c r="D459" s="189" t="s">
        <v>132</v>
      </c>
      <c r="E459" s="17">
        <f>+SUM(H459:H459)</f>
        <v>0</v>
      </c>
      <c r="F459" s="196">
        <f t="shared" si="35"/>
        <v>0</v>
      </c>
      <c r="G459" s="17"/>
      <c r="H459" s="17">
        <f>IFERROR( VLOOKUP(B459,Descargas!$B$3:$I$94,8,FALSE),0)</f>
        <v>0</v>
      </c>
      <c r="K459" s="116">
        <f t="shared" si="33"/>
        <v>0</v>
      </c>
      <c r="L459" s="6"/>
      <c r="M459" s="6"/>
      <c r="N459" s="4"/>
    </row>
    <row r="460" spans="2:25" ht="12" customHeight="1">
      <c r="B460" s="116">
        <v>205</v>
      </c>
      <c r="C460" s="197"/>
      <c r="D460" s="180" t="s">
        <v>137</v>
      </c>
      <c r="E460" s="18">
        <f>+SUM(H460:H460)</f>
        <v>0</v>
      </c>
      <c r="F460" s="196">
        <f t="shared" si="35"/>
        <v>0</v>
      </c>
      <c r="G460" s="17"/>
      <c r="H460" s="17">
        <f>IFERROR( VLOOKUP(B460,Descargas!$B$3:$I$94,8,FALSE),0)</f>
        <v>0</v>
      </c>
      <c r="K460" s="116">
        <f t="shared" si="33"/>
        <v>0</v>
      </c>
      <c r="L460" s="6"/>
      <c r="M460" s="6"/>
      <c r="N460" s="4"/>
    </row>
    <row r="461" spans="2:25" ht="12" customHeight="1">
      <c r="B461" s="116">
        <v>206</v>
      </c>
      <c r="C461" s="197"/>
      <c r="D461" s="180" t="s">
        <v>138</v>
      </c>
      <c r="E461" s="18">
        <f>+SUM(H461:H461)</f>
        <v>0</v>
      </c>
      <c r="F461" s="196">
        <f t="shared" si="35"/>
        <v>0</v>
      </c>
      <c r="G461" s="17"/>
      <c r="H461" s="17">
        <f>IFERROR( VLOOKUP(B461,Descargas!$B$3:$I$94,8,FALSE),0)</f>
        <v>0</v>
      </c>
      <c r="K461" s="116">
        <f t="shared" si="33"/>
        <v>0</v>
      </c>
      <c r="L461" s="6"/>
      <c r="M461" s="6"/>
      <c r="N461" s="4"/>
    </row>
    <row r="462" spans="2:25">
      <c r="B462" s="116">
        <v>207</v>
      </c>
      <c r="C462" s="197"/>
      <c r="D462" s="180" t="s">
        <v>139</v>
      </c>
      <c r="E462" s="18">
        <f>+SUM(H462:H462)</f>
        <v>0</v>
      </c>
      <c r="F462" s="196">
        <f t="shared" si="35"/>
        <v>0</v>
      </c>
      <c r="G462" s="17"/>
      <c r="H462" s="17">
        <f>IFERROR( VLOOKUP(B462,Descargas!$B$3:$I$94,8,FALSE),0)</f>
        <v>0</v>
      </c>
      <c r="K462" s="116">
        <f t="shared" si="33"/>
        <v>0</v>
      </c>
      <c r="L462" s="6"/>
      <c r="M462" s="6"/>
      <c r="N462" s="4"/>
    </row>
    <row r="463" spans="2:25" ht="12" customHeight="1">
      <c r="B463" s="116">
        <v>208</v>
      </c>
      <c r="C463" s="197"/>
      <c r="D463" s="180" t="s">
        <v>140</v>
      </c>
      <c r="E463" s="18">
        <f>+SUM(H463:H463)</f>
        <v>0</v>
      </c>
      <c r="F463" s="196">
        <f t="shared" si="35"/>
        <v>0</v>
      </c>
      <c r="G463" s="17"/>
      <c r="H463" s="17">
        <f>IFERROR( VLOOKUP(B463,Descargas!$B$3:$I$94,8,FALSE),0)</f>
        <v>0</v>
      </c>
      <c r="K463" s="116">
        <f t="shared" ref="K463:K526" si="36">+F463/$K$9</f>
        <v>0</v>
      </c>
      <c r="L463" s="6"/>
      <c r="M463" s="6"/>
      <c r="N463" s="4"/>
    </row>
    <row r="464" spans="2:25" s="21" customFormat="1">
      <c r="B464" s="116">
        <v>209</v>
      </c>
      <c r="C464" s="197"/>
      <c r="D464" s="180" t="s">
        <v>141</v>
      </c>
      <c r="E464" s="17">
        <f t="shared" si="34"/>
        <v>0</v>
      </c>
      <c r="F464" s="196">
        <f t="shared" si="35"/>
        <v>0</v>
      </c>
      <c r="G464" s="17"/>
      <c r="H464" s="17">
        <f>IFERROR( VLOOKUP(B464,Descargas!$B$3:$I$94,8,FALSE),0)</f>
        <v>0</v>
      </c>
      <c r="I464" s="198"/>
      <c r="J464" s="199"/>
      <c r="K464" s="116">
        <f t="shared" si="36"/>
        <v>0</v>
      </c>
      <c r="L464" s="22"/>
      <c r="M464" s="22"/>
      <c r="N464" s="20"/>
      <c r="W464" s="23"/>
      <c r="X464" s="23"/>
      <c r="Y464" s="23"/>
    </row>
    <row r="465" spans="2:15" ht="12" customHeight="1">
      <c r="B465" s="116">
        <v>210</v>
      </c>
      <c r="C465" s="197"/>
      <c r="D465" s="189" t="s">
        <v>142</v>
      </c>
      <c r="E465" s="17">
        <f t="shared" si="34"/>
        <v>0</v>
      </c>
      <c r="F465" s="196">
        <f t="shared" si="35"/>
        <v>0</v>
      </c>
      <c r="G465" s="17"/>
      <c r="H465" s="17">
        <f>IFERROR( VLOOKUP(B465,Descargas!$B$3:$I$94,8,FALSE),0)</f>
        <v>0</v>
      </c>
      <c r="K465" s="116">
        <f t="shared" si="36"/>
        <v>0</v>
      </c>
      <c r="L465" s="6"/>
      <c r="M465" s="6"/>
      <c r="N465" s="4"/>
    </row>
    <row r="466" spans="2:15" ht="12" customHeight="1">
      <c r="B466" s="116">
        <v>211</v>
      </c>
      <c r="C466" s="197"/>
      <c r="D466" s="189" t="s">
        <v>143</v>
      </c>
      <c r="E466" s="17">
        <f t="shared" si="34"/>
        <v>0</v>
      </c>
      <c r="F466" s="196">
        <f t="shared" si="35"/>
        <v>0</v>
      </c>
      <c r="G466" s="17"/>
      <c r="H466" s="17">
        <f>IFERROR( VLOOKUP(B466,Descargas!$B$3:$I$94,8,FALSE),0)</f>
        <v>0</v>
      </c>
      <c r="K466" s="116">
        <f t="shared" si="36"/>
        <v>0</v>
      </c>
      <c r="L466" s="6"/>
      <c r="M466" s="6"/>
      <c r="N466" s="4"/>
    </row>
    <row r="467" spans="2:15" ht="12" customHeight="1">
      <c r="B467" s="116">
        <v>212</v>
      </c>
      <c r="C467" s="197"/>
      <c r="D467" s="189" t="s">
        <v>144</v>
      </c>
      <c r="E467" s="18">
        <f t="shared" si="34"/>
        <v>0</v>
      </c>
      <c r="F467" s="196">
        <f t="shared" si="35"/>
        <v>0</v>
      </c>
      <c r="G467" s="17"/>
      <c r="H467" s="17">
        <f>IFERROR( VLOOKUP(B467,Descargas!$B$3:$I$94,8,FALSE),0)</f>
        <v>0</v>
      </c>
      <c r="K467" s="116">
        <f t="shared" si="36"/>
        <v>0</v>
      </c>
      <c r="L467" s="6"/>
      <c r="M467" s="6"/>
      <c r="N467" s="4"/>
    </row>
    <row r="468" spans="2:15">
      <c r="B468" s="116">
        <v>213</v>
      </c>
      <c r="C468" s="197"/>
      <c r="D468" s="180" t="s">
        <v>145</v>
      </c>
      <c r="E468" s="18">
        <f t="shared" si="34"/>
        <v>0</v>
      </c>
      <c r="F468" s="196">
        <f t="shared" si="35"/>
        <v>0</v>
      </c>
      <c r="G468" s="17"/>
      <c r="H468" s="17">
        <f>IFERROR( VLOOKUP(B468,Descargas!$B$3:$I$94,8,FALSE),0)</f>
        <v>0</v>
      </c>
      <c r="K468" s="116">
        <f t="shared" si="36"/>
        <v>0</v>
      </c>
      <c r="L468" s="6"/>
      <c r="M468" s="6"/>
      <c r="N468" s="4"/>
    </row>
    <row r="469" spans="2:15">
      <c r="B469" s="116">
        <v>214</v>
      </c>
      <c r="C469" s="197"/>
      <c r="D469" s="180" t="s">
        <v>146</v>
      </c>
      <c r="E469" s="17">
        <f t="shared" si="34"/>
        <v>0</v>
      </c>
      <c r="F469" s="196">
        <f t="shared" si="35"/>
        <v>0</v>
      </c>
      <c r="G469" s="17"/>
      <c r="H469" s="17">
        <f>IFERROR( VLOOKUP(B469,Descargas!$B$3:$I$94,8,FALSE),0)</f>
        <v>0</v>
      </c>
      <c r="K469" s="116">
        <f t="shared" si="36"/>
        <v>0</v>
      </c>
      <c r="L469" s="6"/>
      <c r="M469" s="6"/>
      <c r="N469" s="4"/>
      <c r="O469" s="4"/>
    </row>
    <row r="470" spans="2:15">
      <c r="B470" s="116">
        <v>215</v>
      </c>
      <c r="C470" s="197"/>
      <c r="D470" s="189" t="s">
        <v>147</v>
      </c>
      <c r="E470" s="18">
        <f t="shared" si="34"/>
        <v>0</v>
      </c>
      <c r="F470" s="196">
        <f t="shared" si="35"/>
        <v>0</v>
      </c>
      <c r="G470" s="17"/>
      <c r="H470" s="17">
        <f>IFERROR( VLOOKUP(B470,Descargas!$B$3:$I$94,8,FALSE),0)</f>
        <v>0</v>
      </c>
      <c r="K470" s="116">
        <f t="shared" si="36"/>
        <v>0</v>
      </c>
      <c r="L470" s="6"/>
      <c r="M470" s="6"/>
      <c r="N470" s="4"/>
    </row>
    <row r="471" spans="2:15">
      <c r="B471" s="116">
        <v>216</v>
      </c>
      <c r="C471" s="197"/>
      <c r="D471" s="180" t="s">
        <v>148</v>
      </c>
      <c r="E471" s="17">
        <f>+SUM(H471:H471)</f>
        <v>0</v>
      </c>
      <c r="F471" s="196">
        <f t="shared" si="35"/>
        <v>0</v>
      </c>
      <c r="G471" s="17"/>
      <c r="H471" s="17">
        <f>IFERROR( VLOOKUP(B471,Descargas!$B$3:$I$94,8,FALSE),0)</f>
        <v>0</v>
      </c>
      <c r="K471" s="116">
        <f t="shared" si="36"/>
        <v>0</v>
      </c>
      <c r="L471" s="6"/>
      <c r="M471" s="6"/>
      <c r="N471" s="4"/>
    </row>
    <row r="472" spans="2:15" ht="12" customHeight="1">
      <c r="B472" s="116">
        <v>217</v>
      </c>
      <c r="C472" s="197"/>
      <c r="D472" s="180" t="s">
        <v>262</v>
      </c>
      <c r="E472" s="17">
        <f t="shared" si="34"/>
        <v>0</v>
      </c>
      <c r="F472" s="196">
        <f t="shared" ref="F472:F535" si="37">+SUM(H472:H472)</f>
        <v>0</v>
      </c>
      <c r="G472" s="17"/>
      <c r="H472" s="17">
        <f>IFERROR( VLOOKUP(B472,Descargas!$B$3:$I$94,8,FALSE),0)</f>
        <v>0</v>
      </c>
      <c r="K472" s="116">
        <f t="shared" si="36"/>
        <v>0</v>
      </c>
      <c r="L472" s="6"/>
      <c r="M472" s="6"/>
      <c r="N472" s="4"/>
    </row>
    <row r="473" spans="2:15" ht="12" customHeight="1">
      <c r="B473" s="116">
        <v>218</v>
      </c>
      <c r="C473" s="197"/>
      <c r="D473" s="189" t="s">
        <v>237</v>
      </c>
      <c r="E473" s="17">
        <f t="shared" ref="E473:E542" si="38">+SUM(H473:H473)</f>
        <v>0</v>
      </c>
      <c r="F473" s="196">
        <f t="shared" si="37"/>
        <v>0</v>
      </c>
      <c r="G473" s="17"/>
      <c r="H473" s="17">
        <f>IFERROR( VLOOKUP(B473,Descargas!$B$3:$I$94,8,FALSE),0)</f>
        <v>0</v>
      </c>
      <c r="K473" s="116">
        <f t="shared" si="36"/>
        <v>0</v>
      </c>
      <c r="L473" s="6"/>
      <c r="M473" s="6"/>
      <c r="N473" s="4"/>
    </row>
    <row r="474" spans="2:15" ht="12" customHeight="1">
      <c r="B474" s="116">
        <v>219</v>
      </c>
      <c r="C474" s="197"/>
      <c r="D474" s="189" t="s">
        <v>149</v>
      </c>
      <c r="E474" s="17">
        <f t="shared" si="38"/>
        <v>0</v>
      </c>
      <c r="F474" s="196">
        <f t="shared" si="37"/>
        <v>0</v>
      </c>
      <c r="G474" s="17"/>
      <c r="H474" s="17">
        <f>IFERROR( VLOOKUP(B474,Descargas!$B$3:$I$94,8,FALSE),0)</f>
        <v>0</v>
      </c>
      <c r="J474" s="200"/>
      <c r="K474" s="116">
        <f t="shared" si="36"/>
        <v>0</v>
      </c>
      <c r="L474" s="4"/>
      <c r="M474" s="4"/>
      <c r="N474" s="4"/>
    </row>
    <row r="475" spans="2:15" ht="12" customHeight="1">
      <c r="B475" s="116">
        <v>220</v>
      </c>
      <c r="C475" s="197"/>
      <c r="D475" s="180" t="s">
        <v>150</v>
      </c>
      <c r="E475" s="18">
        <f t="shared" si="38"/>
        <v>0</v>
      </c>
      <c r="F475" s="196">
        <f t="shared" si="37"/>
        <v>0</v>
      </c>
      <c r="G475" s="17"/>
      <c r="H475" s="17">
        <f>IFERROR( VLOOKUP(B475,Descargas!$B$3:$I$94,8,FALSE),0)</f>
        <v>0</v>
      </c>
      <c r="I475" s="182"/>
      <c r="J475" s="200"/>
      <c r="K475" s="116">
        <f t="shared" si="36"/>
        <v>0</v>
      </c>
      <c r="L475" s="4"/>
      <c r="M475" s="4"/>
      <c r="N475" s="4"/>
    </row>
    <row r="476" spans="2:15" ht="12" customHeight="1">
      <c r="B476" s="116">
        <v>221</v>
      </c>
      <c r="C476" s="197"/>
      <c r="D476" s="189" t="s">
        <v>151</v>
      </c>
      <c r="E476" s="17">
        <f t="shared" si="38"/>
        <v>0</v>
      </c>
      <c r="F476" s="196">
        <f t="shared" si="37"/>
        <v>0</v>
      </c>
      <c r="G476" s="17"/>
      <c r="H476" s="17">
        <f>IFERROR( VLOOKUP(B476,Descargas!$B$3:$I$94,8,FALSE),0)</f>
        <v>0</v>
      </c>
      <c r="I476" s="182"/>
      <c r="J476" s="200"/>
      <c r="K476" s="116">
        <f t="shared" si="36"/>
        <v>0</v>
      </c>
      <c r="L476" s="4"/>
      <c r="M476" s="4"/>
      <c r="N476" s="4"/>
    </row>
    <row r="477" spans="2:15">
      <c r="B477" s="116">
        <v>222</v>
      </c>
      <c r="C477" s="197"/>
      <c r="D477" s="180" t="s">
        <v>152</v>
      </c>
      <c r="E477" s="17">
        <f>+SUM(H477:H477)</f>
        <v>0</v>
      </c>
      <c r="F477" s="196">
        <f t="shared" si="37"/>
        <v>0</v>
      </c>
      <c r="G477" s="17"/>
      <c r="H477" s="17">
        <f>IFERROR( VLOOKUP(B477,Descargas!$B$3:$I$94,8,FALSE),0)</f>
        <v>0</v>
      </c>
      <c r="I477" s="182"/>
      <c r="J477" s="200"/>
      <c r="K477" s="116">
        <f t="shared" si="36"/>
        <v>0</v>
      </c>
      <c r="L477" s="4"/>
      <c r="M477" s="4"/>
      <c r="N477" s="4"/>
    </row>
    <row r="478" spans="2:15" ht="12" customHeight="1">
      <c r="B478" s="116">
        <v>223</v>
      </c>
      <c r="C478" s="197"/>
      <c r="D478" s="189" t="s">
        <v>192</v>
      </c>
      <c r="E478" s="17">
        <f t="shared" si="38"/>
        <v>0</v>
      </c>
      <c r="F478" s="196">
        <f t="shared" si="37"/>
        <v>0</v>
      </c>
      <c r="G478" s="17"/>
      <c r="H478" s="17">
        <f>IFERROR( VLOOKUP(B478,Descargas!$B$3:$I$94,8,FALSE),0)</f>
        <v>0</v>
      </c>
      <c r="I478" s="182"/>
      <c r="J478" s="200"/>
      <c r="K478" s="116">
        <f t="shared" si="36"/>
        <v>0</v>
      </c>
      <c r="L478" s="4"/>
      <c r="M478" s="4"/>
      <c r="N478" s="4"/>
    </row>
    <row r="479" spans="2:15">
      <c r="B479" s="116">
        <v>224</v>
      </c>
      <c r="C479" s="197"/>
      <c r="D479" s="189" t="s">
        <v>193</v>
      </c>
      <c r="E479" s="17">
        <f t="shared" si="38"/>
        <v>0</v>
      </c>
      <c r="F479" s="196">
        <f t="shared" si="37"/>
        <v>0</v>
      </c>
      <c r="G479" s="17"/>
      <c r="H479" s="17">
        <f>IFERROR( VLOOKUP(B479,Descargas!$B$3:$I$94,8,FALSE),0)</f>
        <v>0</v>
      </c>
      <c r="J479" s="200"/>
      <c r="K479" s="116">
        <f t="shared" si="36"/>
        <v>0</v>
      </c>
      <c r="L479" s="4"/>
      <c r="M479" s="4"/>
      <c r="N479" s="4"/>
    </row>
    <row r="480" spans="2:15">
      <c r="B480" s="116">
        <v>225</v>
      </c>
      <c r="C480" s="197"/>
      <c r="D480" s="180" t="s">
        <v>238</v>
      </c>
      <c r="E480" s="17">
        <f t="shared" si="38"/>
        <v>0</v>
      </c>
      <c r="F480" s="196">
        <f t="shared" si="37"/>
        <v>0</v>
      </c>
      <c r="G480" s="17"/>
      <c r="H480" s="17">
        <f>IFERROR( VLOOKUP(B480,Descargas!$B$3:$I$94,8,FALSE),0)</f>
        <v>0</v>
      </c>
      <c r="J480" s="200"/>
      <c r="K480" s="116">
        <f t="shared" si="36"/>
        <v>0</v>
      </c>
      <c r="L480" s="4"/>
      <c r="M480" s="4"/>
      <c r="N480" s="4"/>
    </row>
    <row r="481" spans="2:14" ht="12" customHeight="1">
      <c r="B481" s="116">
        <v>226</v>
      </c>
      <c r="C481" s="197"/>
      <c r="D481" s="189" t="s">
        <v>194</v>
      </c>
      <c r="E481" s="17">
        <f t="shared" si="38"/>
        <v>0</v>
      </c>
      <c r="F481" s="196">
        <f t="shared" si="37"/>
        <v>0</v>
      </c>
      <c r="G481" s="17"/>
      <c r="H481" s="17">
        <f>IFERROR( VLOOKUP(B481,Descargas!$B$3:$I$94,8,FALSE),0)</f>
        <v>0</v>
      </c>
      <c r="J481" s="200"/>
      <c r="K481" s="116">
        <f t="shared" si="36"/>
        <v>0</v>
      </c>
      <c r="L481" s="4"/>
      <c r="M481" s="4"/>
      <c r="N481" s="4"/>
    </row>
    <row r="482" spans="2:14">
      <c r="B482" s="116">
        <v>227</v>
      </c>
      <c r="C482" s="197"/>
      <c r="D482" s="180" t="s">
        <v>195</v>
      </c>
      <c r="E482" s="18">
        <f t="shared" si="38"/>
        <v>0</v>
      </c>
      <c r="F482" s="196">
        <f t="shared" si="37"/>
        <v>0</v>
      </c>
      <c r="G482" s="17"/>
      <c r="H482" s="17">
        <f>IFERROR( VLOOKUP(B482,Descargas!$B$3:$I$94,8,FALSE),0)</f>
        <v>0</v>
      </c>
      <c r="J482" s="200"/>
      <c r="K482" s="116">
        <f t="shared" si="36"/>
        <v>0</v>
      </c>
      <c r="L482" s="4"/>
      <c r="M482" s="4"/>
      <c r="N482" s="4"/>
    </row>
    <row r="483" spans="2:14" ht="12" customHeight="1">
      <c r="B483" s="116">
        <v>228</v>
      </c>
      <c r="C483" s="197"/>
      <c r="D483" s="180" t="s">
        <v>196</v>
      </c>
      <c r="E483" s="17">
        <f t="shared" si="38"/>
        <v>0</v>
      </c>
      <c r="F483" s="196">
        <f t="shared" si="37"/>
        <v>0</v>
      </c>
      <c r="G483" s="17"/>
      <c r="H483" s="17">
        <f>IFERROR( VLOOKUP(B483,Descargas!$B$3:$I$94,8,FALSE),0)</f>
        <v>0</v>
      </c>
      <c r="J483" s="200"/>
      <c r="K483" s="116">
        <f t="shared" si="36"/>
        <v>0</v>
      </c>
      <c r="L483" s="4"/>
      <c r="M483" s="4"/>
      <c r="N483" s="4"/>
    </row>
    <row r="484" spans="2:14" ht="12" customHeight="1">
      <c r="B484" s="116">
        <v>229</v>
      </c>
      <c r="C484" s="197"/>
      <c r="D484" s="189" t="s">
        <v>197</v>
      </c>
      <c r="E484" s="18">
        <f t="shared" si="38"/>
        <v>0</v>
      </c>
      <c r="F484" s="196">
        <f t="shared" si="37"/>
        <v>0</v>
      </c>
      <c r="G484" s="17"/>
      <c r="H484" s="17">
        <f>IFERROR( VLOOKUP(B484,Descargas!$B$3:$I$94,8,FALSE),0)</f>
        <v>0</v>
      </c>
      <c r="J484" s="200"/>
      <c r="K484" s="116">
        <f t="shared" si="36"/>
        <v>0</v>
      </c>
      <c r="L484" s="4"/>
      <c r="M484" s="4"/>
      <c r="N484" s="4"/>
    </row>
    <row r="485" spans="2:14" ht="12" customHeight="1">
      <c r="B485" s="116">
        <v>230</v>
      </c>
      <c r="C485" s="197"/>
      <c r="D485" s="189" t="s">
        <v>198</v>
      </c>
      <c r="E485" s="17">
        <f t="shared" si="38"/>
        <v>0</v>
      </c>
      <c r="F485" s="196">
        <f t="shared" si="37"/>
        <v>0</v>
      </c>
      <c r="G485" s="17"/>
      <c r="H485" s="17">
        <f>IFERROR( VLOOKUP(B485,Descargas!$B$3:$I$94,8,FALSE),0)</f>
        <v>0</v>
      </c>
      <c r="J485" s="200"/>
      <c r="K485" s="116">
        <f t="shared" si="36"/>
        <v>0</v>
      </c>
      <c r="L485" s="4"/>
      <c r="M485" s="4"/>
      <c r="N485" s="4"/>
    </row>
    <row r="486" spans="2:14" ht="12" customHeight="1">
      <c r="B486" s="116">
        <v>231</v>
      </c>
      <c r="C486" s="197"/>
      <c r="D486" s="189" t="s">
        <v>199</v>
      </c>
      <c r="E486" s="17">
        <f t="shared" si="38"/>
        <v>0</v>
      </c>
      <c r="F486" s="196">
        <f t="shared" si="37"/>
        <v>0</v>
      </c>
      <c r="G486" s="17"/>
      <c r="H486" s="17">
        <f>IFERROR( VLOOKUP(B486,Descargas!$B$3:$I$94,8,FALSE),0)</f>
        <v>0</v>
      </c>
      <c r="J486" s="200"/>
      <c r="K486" s="116">
        <f t="shared" si="36"/>
        <v>0</v>
      </c>
      <c r="L486" s="4"/>
      <c r="M486" s="4"/>
      <c r="N486" s="4"/>
    </row>
    <row r="487" spans="2:14" ht="12" customHeight="1">
      <c r="B487" s="116">
        <v>232</v>
      </c>
      <c r="C487" s="197"/>
      <c r="D487" s="189" t="s">
        <v>200</v>
      </c>
      <c r="E487" s="17">
        <f t="shared" si="38"/>
        <v>0</v>
      </c>
      <c r="F487" s="196">
        <f t="shared" si="37"/>
        <v>0</v>
      </c>
      <c r="G487" s="17"/>
      <c r="H487" s="17">
        <f>IFERROR( VLOOKUP(B487,Descargas!$B$3:$I$94,8,FALSE),0)</f>
        <v>0</v>
      </c>
      <c r="J487" s="200"/>
      <c r="K487" s="116">
        <f t="shared" si="36"/>
        <v>0</v>
      </c>
      <c r="L487" s="4"/>
      <c r="M487" s="4"/>
      <c r="N487" s="4"/>
    </row>
    <row r="488" spans="2:14" ht="12" customHeight="1">
      <c r="B488" s="116">
        <v>233</v>
      </c>
      <c r="C488" s="197"/>
      <c r="D488" s="180" t="s">
        <v>201</v>
      </c>
      <c r="E488" s="18">
        <f>+SUM(H488:H488)</f>
        <v>0</v>
      </c>
      <c r="F488" s="196">
        <f t="shared" si="37"/>
        <v>0</v>
      </c>
      <c r="G488" s="17"/>
      <c r="H488" s="17">
        <f>IFERROR( VLOOKUP(B488,Descargas!$B$3:$I$94,8,FALSE),0)</f>
        <v>0</v>
      </c>
      <c r="I488" s="145"/>
      <c r="J488" s="200"/>
      <c r="K488" s="116">
        <f t="shared" si="36"/>
        <v>0</v>
      </c>
      <c r="L488" s="4"/>
      <c r="M488" s="4"/>
      <c r="N488" s="4"/>
    </row>
    <row r="489" spans="2:14" ht="12" customHeight="1">
      <c r="B489" s="116">
        <v>234</v>
      </c>
      <c r="C489" s="197"/>
      <c r="D489" s="189" t="s">
        <v>202</v>
      </c>
      <c r="E489" s="19">
        <f t="shared" si="38"/>
        <v>0</v>
      </c>
      <c r="F489" s="196">
        <f t="shared" si="37"/>
        <v>0</v>
      </c>
      <c r="G489" s="19"/>
      <c r="H489" s="17">
        <f>IFERROR( VLOOKUP(B489,Descargas!$B$3:$I$94,8,FALSE),0)</f>
        <v>0</v>
      </c>
      <c r="I489" s="145"/>
      <c r="J489" s="200"/>
      <c r="K489" s="116">
        <f t="shared" si="36"/>
        <v>0</v>
      </c>
      <c r="L489" s="4"/>
      <c r="M489" s="4"/>
      <c r="N489" s="4"/>
    </row>
    <row r="490" spans="2:14">
      <c r="B490" s="116">
        <v>235</v>
      </c>
      <c r="C490" s="197"/>
      <c r="D490" s="180" t="s">
        <v>203</v>
      </c>
      <c r="E490" s="17">
        <f t="shared" si="38"/>
        <v>0</v>
      </c>
      <c r="F490" s="196">
        <f t="shared" si="37"/>
        <v>0</v>
      </c>
      <c r="G490" s="17"/>
      <c r="H490" s="17">
        <f>IFERROR( VLOOKUP(B490,Descargas!$B$3:$I$94,8,FALSE),0)</f>
        <v>0</v>
      </c>
      <c r="I490" s="145"/>
      <c r="J490" s="200"/>
      <c r="K490" s="116">
        <f t="shared" si="36"/>
        <v>0</v>
      </c>
      <c r="L490" s="4"/>
      <c r="M490" s="4"/>
      <c r="N490" s="4"/>
    </row>
    <row r="491" spans="2:14">
      <c r="B491" s="116">
        <v>236</v>
      </c>
      <c r="C491" s="197"/>
      <c r="D491" s="189" t="s">
        <v>204</v>
      </c>
      <c r="E491" s="17">
        <f>+SUM(H491:H491)</f>
        <v>0</v>
      </c>
      <c r="F491" s="196">
        <f t="shared" si="37"/>
        <v>0</v>
      </c>
      <c r="G491" s="17"/>
      <c r="H491" s="17">
        <f>IFERROR( VLOOKUP(B491,Descargas!$B$3:$I$94,8,FALSE),0)</f>
        <v>0</v>
      </c>
      <c r="I491" s="145"/>
      <c r="J491" s="200"/>
      <c r="K491" s="116">
        <f t="shared" si="36"/>
        <v>0</v>
      </c>
      <c r="L491" s="4"/>
      <c r="M491" s="4"/>
      <c r="N491" s="4"/>
    </row>
    <row r="492" spans="2:14">
      <c r="B492" s="116">
        <v>237</v>
      </c>
      <c r="C492" s="197"/>
      <c r="D492" s="180" t="s">
        <v>239</v>
      </c>
      <c r="E492" s="18">
        <f t="shared" si="38"/>
        <v>0</v>
      </c>
      <c r="F492" s="196">
        <f t="shared" si="37"/>
        <v>0</v>
      </c>
      <c r="G492" s="17"/>
      <c r="H492" s="17">
        <f>IFERROR( VLOOKUP(B492,Descargas!$B$3:$I$94,8,FALSE),0)</f>
        <v>0</v>
      </c>
      <c r="I492" s="145"/>
      <c r="J492" s="200"/>
      <c r="K492" s="116">
        <f t="shared" si="36"/>
        <v>0</v>
      </c>
      <c r="L492" s="4"/>
      <c r="M492" s="4"/>
      <c r="N492" s="4"/>
    </row>
    <row r="493" spans="2:14" ht="12" customHeight="1">
      <c r="B493" s="116">
        <v>238</v>
      </c>
      <c r="C493" s="197"/>
      <c r="D493" s="180" t="s">
        <v>240</v>
      </c>
      <c r="E493" s="18">
        <f t="shared" si="38"/>
        <v>0</v>
      </c>
      <c r="F493" s="196">
        <f t="shared" si="37"/>
        <v>0</v>
      </c>
      <c r="G493" s="17"/>
      <c r="H493" s="17">
        <f>IFERROR( VLOOKUP(B493,Descargas!$B$3:$I$94,8,FALSE),0)</f>
        <v>0</v>
      </c>
      <c r="I493" s="145"/>
      <c r="J493" s="200"/>
      <c r="K493" s="116">
        <f t="shared" si="36"/>
        <v>0</v>
      </c>
      <c r="L493" s="4"/>
      <c r="M493" s="4"/>
      <c r="N493" s="4"/>
    </row>
    <row r="494" spans="2:14" ht="12" customHeight="1">
      <c r="B494" s="116">
        <v>239</v>
      </c>
      <c r="C494" s="197"/>
      <c r="D494" s="189" t="s">
        <v>205</v>
      </c>
      <c r="E494" s="17">
        <f t="shared" si="38"/>
        <v>0</v>
      </c>
      <c r="F494" s="196">
        <f t="shared" si="37"/>
        <v>0</v>
      </c>
      <c r="G494" s="17"/>
      <c r="H494" s="17">
        <f>IFERROR( VLOOKUP(B494,Descargas!$B$3:$I$94,8,FALSE),0)</f>
        <v>0</v>
      </c>
      <c r="I494" s="145"/>
      <c r="J494" s="200"/>
      <c r="K494" s="116">
        <f t="shared" si="36"/>
        <v>0</v>
      </c>
      <c r="L494" s="4"/>
      <c r="M494" s="4"/>
      <c r="N494" s="4"/>
    </row>
    <row r="495" spans="2:14" ht="12" customHeight="1">
      <c r="B495" s="116">
        <v>240</v>
      </c>
      <c r="C495" s="197"/>
      <c r="D495" s="189" t="s">
        <v>206</v>
      </c>
      <c r="E495" s="17">
        <f t="shared" si="38"/>
        <v>0</v>
      </c>
      <c r="F495" s="196">
        <f t="shared" si="37"/>
        <v>0</v>
      </c>
      <c r="G495" s="17"/>
      <c r="H495" s="17">
        <f>IFERROR( VLOOKUP(B495,Descargas!$B$3:$I$94,8,FALSE),0)</f>
        <v>0</v>
      </c>
      <c r="I495" s="145"/>
      <c r="J495" s="200"/>
      <c r="K495" s="116">
        <f t="shared" si="36"/>
        <v>0</v>
      </c>
      <c r="L495" s="4"/>
      <c r="M495" s="4"/>
      <c r="N495" s="4"/>
    </row>
    <row r="496" spans="2:14" ht="12" customHeight="1">
      <c r="B496" s="116">
        <v>241</v>
      </c>
      <c r="C496" s="197"/>
      <c r="D496" s="189" t="s">
        <v>223</v>
      </c>
      <c r="E496" s="17">
        <f t="shared" si="38"/>
        <v>0</v>
      </c>
      <c r="F496" s="196">
        <f t="shared" si="37"/>
        <v>0</v>
      </c>
      <c r="G496" s="17"/>
      <c r="H496" s="17">
        <f>IFERROR( VLOOKUP(B496,Descargas!$B$3:$I$94,8,FALSE),0)</f>
        <v>0</v>
      </c>
      <c r="J496" s="200"/>
      <c r="K496" s="116">
        <f t="shared" si="36"/>
        <v>0</v>
      </c>
      <c r="L496" s="4"/>
      <c r="M496" s="4"/>
      <c r="N496" s="4"/>
    </row>
    <row r="497" spans="2:14" ht="12" customHeight="1">
      <c r="B497" s="116">
        <v>242</v>
      </c>
      <c r="C497" s="197"/>
      <c r="D497" s="189" t="s">
        <v>263</v>
      </c>
      <c r="E497" s="17">
        <f t="shared" si="38"/>
        <v>0</v>
      </c>
      <c r="F497" s="196">
        <f t="shared" si="37"/>
        <v>0</v>
      </c>
      <c r="G497" s="17"/>
      <c r="H497" s="17">
        <f>IFERROR( VLOOKUP(B497,Descargas!$B$3:$I$94,8,FALSE),0)</f>
        <v>0</v>
      </c>
      <c r="J497" s="200"/>
      <c r="K497" s="116">
        <f t="shared" si="36"/>
        <v>0</v>
      </c>
      <c r="L497" s="4"/>
      <c r="M497" s="4"/>
      <c r="N497" s="4"/>
    </row>
    <row r="498" spans="2:14" ht="12" customHeight="1">
      <c r="B498" s="116">
        <v>243</v>
      </c>
      <c r="C498" s="197"/>
      <c r="D498" s="189" t="s">
        <v>207</v>
      </c>
      <c r="E498" s="17">
        <f t="shared" si="38"/>
        <v>0</v>
      </c>
      <c r="F498" s="196">
        <f t="shared" si="37"/>
        <v>0</v>
      </c>
      <c r="G498" s="17"/>
      <c r="H498" s="17">
        <f>IFERROR( VLOOKUP(B498,Descargas!$B$3:$I$94,8,FALSE),0)</f>
        <v>0</v>
      </c>
      <c r="J498" s="200"/>
      <c r="K498" s="116">
        <f t="shared" si="36"/>
        <v>0</v>
      </c>
      <c r="L498" s="4"/>
      <c r="M498" s="4"/>
      <c r="N498" s="4"/>
    </row>
    <row r="499" spans="2:14">
      <c r="B499" s="116">
        <v>244</v>
      </c>
      <c r="C499" s="197"/>
      <c r="D499" s="189" t="s">
        <v>208</v>
      </c>
      <c r="E499" s="17">
        <f t="shared" si="38"/>
        <v>0</v>
      </c>
      <c r="F499" s="196">
        <f t="shared" si="37"/>
        <v>0</v>
      </c>
      <c r="G499" s="17"/>
      <c r="H499" s="17">
        <f>IFERROR( VLOOKUP(B499,Descargas!$B$3:$I$94,8,FALSE),0)</f>
        <v>0</v>
      </c>
      <c r="J499" s="200"/>
      <c r="K499" s="116">
        <f t="shared" si="36"/>
        <v>0</v>
      </c>
      <c r="L499" s="4"/>
      <c r="M499" s="4"/>
      <c r="N499" s="4"/>
    </row>
    <row r="500" spans="2:14" ht="12" customHeight="1">
      <c r="B500" s="116">
        <v>245</v>
      </c>
      <c r="C500" s="197"/>
      <c r="D500" s="189" t="s">
        <v>209</v>
      </c>
      <c r="E500" s="17">
        <f t="shared" si="38"/>
        <v>0</v>
      </c>
      <c r="F500" s="196">
        <f t="shared" si="37"/>
        <v>0</v>
      </c>
      <c r="G500" s="17"/>
      <c r="H500" s="17">
        <f>IFERROR( VLOOKUP(B500,Descargas!$B$3:$I$94,8,FALSE),0)</f>
        <v>0</v>
      </c>
      <c r="J500" s="200"/>
      <c r="K500" s="116">
        <f t="shared" si="36"/>
        <v>0</v>
      </c>
      <c r="L500" s="4"/>
      <c r="M500" s="4"/>
      <c r="N500" s="4"/>
    </row>
    <row r="501" spans="2:14" ht="12" customHeight="1">
      <c r="B501" s="116">
        <v>246</v>
      </c>
      <c r="C501" s="197"/>
      <c r="D501" s="189" t="s">
        <v>210</v>
      </c>
      <c r="E501" s="17">
        <f t="shared" si="38"/>
        <v>0</v>
      </c>
      <c r="F501" s="196">
        <f t="shared" si="37"/>
        <v>0</v>
      </c>
      <c r="G501" s="17"/>
      <c r="H501" s="17">
        <f>IFERROR( VLOOKUP(B501,Descargas!$B$3:$I$94,8,FALSE),0)</f>
        <v>0</v>
      </c>
      <c r="J501" s="200"/>
      <c r="K501" s="116">
        <f t="shared" si="36"/>
        <v>0</v>
      </c>
      <c r="L501" s="4"/>
      <c r="M501" s="4"/>
      <c r="N501" s="4"/>
    </row>
    <row r="502" spans="2:14" ht="12" customHeight="1">
      <c r="B502" s="116">
        <v>247</v>
      </c>
      <c r="C502" s="197"/>
      <c r="D502" s="189" t="s">
        <v>256</v>
      </c>
      <c r="E502" s="17">
        <f t="shared" si="38"/>
        <v>0</v>
      </c>
      <c r="F502" s="196">
        <f t="shared" si="37"/>
        <v>0</v>
      </c>
      <c r="G502" s="17"/>
      <c r="H502" s="17">
        <f>IFERROR( VLOOKUP(B502,Descargas!$B$3:$I$94,8,FALSE),0)</f>
        <v>0</v>
      </c>
      <c r="J502" s="200"/>
      <c r="K502" s="116">
        <f t="shared" si="36"/>
        <v>0</v>
      </c>
      <c r="L502" s="4"/>
      <c r="M502" s="4"/>
      <c r="N502" s="4"/>
    </row>
    <row r="503" spans="2:14" ht="12" customHeight="1">
      <c r="B503" s="116">
        <v>248</v>
      </c>
      <c r="C503" s="197"/>
      <c r="D503" s="189" t="s">
        <v>257</v>
      </c>
      <c r="E503" s="17">
        <f t="shared" si="38"/>
        <v>0</v>
      </c>
      <c r="F503" s="196">
        <f t="shared" si="37"/>
        <v>0</v>
      </c>
      <c r="G503" s="17"/>
      <c r="H503" s="17">
        <f>IFERROR( VLOOKUP(B503,Descargas!$B$3:$I$94,8,FALSE),0)</f>
        <v>0</v>
      </c>
      <c r="J503" s="200"/>
      <c r="K503" s="116">
        <f t="shared" si="36"/>
        <v>0</v>
      </c>
      <c r="L503" s="4"/>
      <c r="M503" s="4"/>
      <c r="N503" s="4"/>
    </row>
    <row r="504" spans="2:14">
      <c r="B504" s="116">
        <v>249</v>
      </c>
      <c r="C504" s="197"/>
      <c r="D504" s="189" t="s">
        <v>258</v>
      </c>
      <c r="E504" s="17">
        <f t="shared" si="38"/>
        <v>0</v>
      </c>
      <c r="F504" s="196">
        <f t="shared" si="37"/>
        <v>0</v>
      </c>
      <c r="G504" s="17"/>
      <c r="H504" s="17">
        <f>IFERROR( VLOOKUP(B504,Descargas!$B$3:$I$94,8,FALSE),0)</f>
        <v>0</v>
      </c>
      <c r="J504" s="200"/>
      <c r="K504" s="116">
        <f t="shared" si="36"/>
        <v>0</v>
      </c>
      <c r="L504" s="4"/>
      <c r="M504" s="4"/>
      <c r="N504" s="4"/>
    </row>
    <row r="505" spans="2:14" ht="12" customHeight="1">
      <c r="B505" s="116">
        <v>250</v>
      </c>
      <c r="C505" s="197"/>
      <c r="D505" s="189" t="s">
        <v>259</v>
      </c>
      <c r="E505" s="17">
        <f t="shared" si="38"/>
        <v>0</v>
      </c>
      <c r="F505" s="196">
        <f t="shared" si="37"/>
        <v>0</v>
      </c>
      <c r="G505" s="17"/>
      <c r="H505" s="17">
        <f>IFERROR( VLOOKUP(B505,Descargas!$B$3:$I$94,8,FALSE),0)</f>
        <v>0</v>
      </c>
      <c r="J505" s="200"/>
      <c r="K505" s="116">
        <f t="shared" si="36"/>
        <v>0</v>
      </c>
      <c r="L505" s="4"/>
      <c r="M505" s="4"/>
      <c r="N505" s="4"/>
    </row>
    <row r="506" spans="2:14" ht="12" customHeight="1">
      <c r="B506" s="116">
        <v>251</v>
      </c>
      <c r="C506" s="197"/>
      <c r="D506" s="189">
        <v>251</v>
      </c>
      <c r="E506" s="17">
        <f t="shared" si="38"/>
        <v>0</v>
      </c>
      <c r="F506" s="196">
        <f t="shared" si="37"/>
        <v>0</v>
      </c>
      <c r="G506" s="17"/>
      <c r="H506" s="17">
        <f>IFERROR( VLOOKUP(B506,Descargas!$B$3:$I$94,8,FALSE),0)</f>
        <v>0</v>
      </c>
      <c r="J506" s="200"/>
      <c r="K506" s="116">
        <f t="shared" si="36"/>
        <v>0</v>
      </c>
      <c r="L506" s="4"/>
      <c r="M506" s="4"/>
      <c r="N506" s="4"/>
    </row>
    <row r="507" spans="2:14" ht="12" customHeight="1">
      <c r="B507" s="116">
        <v>252</v>
      </c>
      <c r="C507" s="197"/>
      <c r="D507" s="180" t="s">
        <v>212</v>
      </c>
      <c r="E507" s="17">
        <f t="shared" si="38"/>
        <v>0</v>
      </c>
      <c r="F507" s="196">
        <f t="shared" si="37"/>
        <v>0</v>
      </c>
      <c r="G507" s="17"/>
      <c r="H507" s="17">
        <f>IFERROR( VLOOKUP(B507,Descargas!$B$3:$I$94,8,FALSE),0)</f>
        <v>0</v>
      </c>
      <c r="J507" s="200"/>
      <c r="K507" s="116">
        <f t="shared" si="36"/>
        <v>0</v>
      </c>
      <c r="L507" s="4"/>
      <c r="M507" s="4"/>
      <c r="N507" s="4"/>
    </row>
    <row r="508" spans="2:14" ht="12" customHeight="1">
      <c r="B508" s="116">
        <v>253</v>
      </c>
      <c r="C508" s="197"/>
      <c r="D508" s="189" t="s">
        <v>213</v>
      </c>
      <c r="E508" s="19">
        <f t="shared" si="38"/>
        <v>0</v>
      </c>
      <c r="F508" s="196">
        <f t="shared" si="37"/>
        <v>0</v>
      </c>
      <c r="G508" s="19"/>
      <c r="H508" s="17">
        <f>IFERROR( VLOOKUP(B508,Descargas!$B$3:$I$94,8,FALSE),0)</f>
        <v>0</v>
      </c>
      <c r="J508" s="200"/>
      <c r="K508" s="116">
        <f t="shared" si="36"/>
        <v>0</v>
      </c>
      <c r="L508" s="4"/>
      <c r="M508" s="4"/>
      <c r="N508" s="4"/>
    </row>
    <row r="509" spans="2:14" ht="12" customHeight="1">
      <c r="B509" s="116">
        <v>254</v>
      </c>
      <c r="C509" s="197"/>
      <c r="D509" s="189" t="s">
        <v>214</v>
      </c>
      <c r="E509" s="17">
        <f t="shared" si="38"/>
        <v>0</v>
      </c>
      <c r="F509" s="196">
        <f t="shared" si="37"/>
        <v>0</v>
      </c>
      <c r="G509" s="17"/>
      <c r="H509" s="17">
        <f>IFERROR( VLOOKUP(B509,Descargas!$B$3:$I$94,8,FALSE),0)</f>
        <v>0</v>
      </c>
      <c r="J509" s="200"/>
      <c r="K509" s="116">
        <f t="shared" si="36"/>
        <v>0</v>
      </c>
      <c r="L509" s="4"/>
      <c r="M509" s="4"/>
      <c r="N509" s="4"/>
    </row>
    <row r="510" spans="2:14" ht="12" customHeight="1">
      <c r="B510" s="116">
        <v>255</v>
      </c>
      <c r="C510" s="197"/>
      <c r="D510" s="189" t="s">
        <v>215</v>
      </c>
      <c r="E510" s="17">
        <f t="shared" si="38"/>
        <v>0</v>
      </c>
      <c r="F510" s="196">
        <f t="shared" si="37"/>
        <v>0</v>
      </c>
      <c r="G510" s="17"/>
      <c r="H510" s="17">
        <f>IFERROR( VLOOKUP(B510,Descargas!$B$3:$I$94,8,FALSE),0)</f>
        <v>0</v>
      </c>
      <c r="J510" s="200"/>
      <c r="K510" s="116">
        <f t="shared" si="36"/>
        <v>0</v>
      </c>
      <c r="L510" s="4"/>
      <c r="M510" s="4"/>
      <c r="N510" s="4"/>
    </row>
    <row r="511" spans="2:14" ht="12" customHeight="1">
      <c r="B511" s="116">
        <v>256</v>
      </c>
      <c r="C511" s="197"/>
      <c r="D511" s="189" t="s">
        <v>216</v>
      </c>
      <c r="E511" s="17">
        <f>+SUM(H511:H511)</f>
        <v>0</v>
      </c>
      <c r="F511" s="196">
        <f t="shared" si="37"/>
        <v>0</v>
      </c>
      <c r="G511" s="17"/>
      <c r="H511" s="17">
        <f>IFERROR( VLOOKUP(B511,Descargas!$B$3:$I$94,8,FALSE),0)</f>
        <v>0</v>
      </c>
      <c r="J511" s="200"/>
      <c r="K511" s="116">
        <f t="shared" si="36"/>
        <v>0</v>
      </c>
      <c r="L511" s="4"/>
      <c r="M511" s="4"/>
      <c r="N511" s="4"/>
    </row>
    <row r="512" spans="2:14" ht="12" customHeight="1">
      <c r="B512" s="116">
        <v>257</v>
      </c>
      <c r="C512" s="197"/>
      <c r="D512" s="189" t="s">
        <v>217</v>
      </c>
      <c r="E512" s="17">
        <f>+SUM(H512:H512)</f>
        <v>0</v>
      </c>
      <c r="F512" s="196">
        <f t="shared" si="37"/>
        <v>0</v>
      </c>
      <c r="G512" s="17"/>
      <c r="H512" s="17">
        <f>IFERROR( VLOOKUP(B512,Descargas!$B$3:$I$94,8,FALSE),0)</f>
        <v>0</v>
      </c>
      <c r="J512" s="200"/>
      <c r="K512" s="116">
        <f t="shared" si="36"/>
        <v>0</v>
      </c>
      <c r="L512" s="4"/>
      <c r="M512" s="4"/>
      <c r="N512" s="4"/>
    </row>
    <row r="513" spans="2:14" ht="12" customHeight="1">
      <c r="B513" s="116">
        <v>258</v>
      </c>
      <c r="C513" s="197"/>
      <c r="D513" s="180" t="s">
        <v>218</v>
      </c>
      <c r="E513" s="17">
        <f>+SUM(H513:H513)</f>
        <v>0</v>
      </c>
      <c r="F513" s="196">
        <f t="shared" si="37"/>
        <v>0</v>
      </c>
      <c r="G513" s="17"/>
      <c r="H513" s="17">
        <f>IFERROR( VLOOKUP(B513,Descargas!$B$3:$I$94,8,FALSE),0)</f>
        <v>0</v>
      </c>
      <c r="J513" s="200"/>
      <c r="K513" s="116">
        <f t="shared" si="36"/>
        <v>0</v>
      </c>
      <c r="L513" s="4"/>
      <c r="M513" s="4"/>
      <c r="N513" s="4"/>
    </row>
    <row r="514" spans="2:14">
      <c r="B514" s="116">
        <v>259</v>
      </c>
      <c r="C514" s="197"/>
      <c r="D514" s="189" t="s">
        <v>219</v>
      </c>
      <c r="E514" s="17">
        <f>+SUM(H514:H514)</f>
        <v>0</v>
      </c>
      <c r="F514" s="196">
        <f t="shared" si="37"/>
        <v>0</v>
      </c>
      <c r="G514" s="17"/>
      <c r="H514" s="17">
        <f>IFERROR( VLOOKUP(B514,Descargas!$B$3:$I$94,8,FALSE),0)</f>
        <v>0</v>
      </c>
      <c r="J514" s="200"/>
      <c r="K514" s="116">
        <f t="shared" si="36"/>
        <v>0</v>
      </c>
      <c r="L514" s="4"/>
      <c r="M514" s="4"/>
      <c r="N514" s="4"/>
    </row>
    <row r="515" spans="2:14" ht="12" customHeight="1">
      <c r="B515" s="116">
        <v>260</v>
      </c>
      <c r="C515" s="197"/>
      <c r="D515" s="189" t="s">
        <v>220</v>
      </c>
      <c r="E515" s="17">
        <f t="shared" si="38"/>
        <v>0</v>
      </c>
      <c r="F515" s="196">
        <f t="shared" si="37"/>
        <v>0</v>
      </c>
      <c r="G515" s="17"/>
      <c r="H515" s="17">
        <f>IFERROR( VLOOKUP(B515,Descargas!$B$3:$I$94,8,FALSE),0)</f>
        <v>0</v>
      </c>
      <c r="J515" s="200"/>
      <c r="K515" s="116">
        <f t="shared" si="36"/>
        <v>0</v>
      </c>
      <c r="L515" s="4"/>
      <c r="M515" s="4"/>
      <c r="N515" s="4"/>
    </row>
    <row r="516" spans="2:14">
      <c r="B516" s="116">
        <v>261</v>
      </c>
      <c r="C516" s="197"/>
      <c r="D516" s="189" t="s">
        <v>221</v>
      </c>
      <c r="E516" s="17">
        <f t="shared" si="38"/>
        <v>0</v>
      </c>
      <c r="F516" s="196">
        <f t="shared" si="37"/>
        <v>0</v>
      </c>
      <c r="G516" s="17"/>
      <c r="H516" s="17">
        <f>IFERROR( VLOOKUP(B516,Descargas!$B$3:$I$94,8,FALSE),0)</f>
        <v>0</v>
      </c>
      <c r="J516" s="200"/>
      <c r="K516" s="116">
        <f t="shared" si="36"/>
        <v>0</v>
      </c>
      <c r="L516" s="4"/>
      <c r="M516" s="4"/>
      <c r="N516" s="4"/>
    </row>
    <row r="517" spans="2:14">
      <c r="B517" s="116">
        <v>262</v>
      </c>
      <c r="C517" s="197"/>
      <c r="D517" s="177" t="s">
        <v>222</v>
      </c>
      <c r="E517" s="18">
        <f t="shared" si="38"/>
        <v>0</v>
      </c>
      <c r="F517" s="196">
        <f t="shared" si="37"/>
        <v>0</v>
      </c>
      <c r="G517" s="17"/>
      <c r="H517" s="17">
        <f>IFERROR( VLOOKUP(B517,Descargas!$B$3:$I$94,8,FALSE),0)</f>
        <v>0</v>
      </c>
      <c r="J517" s="200"/>
      <c r="K517" s="116">
        <f t="shared" si="36"/>
        <v>0</v>
      </c>
      <c r="L517" s="4"/>
      <c r="M517" s="4"/>
      <c r="N517" s="4"/>
    </row>
    <row r="518" spans="2:14">
      <c r="B518" s="116">
        <v>263</v>
      </c>
      <c r="C518" s="197"/>
      <c r="D518" s="177" t="s">
        <v>264</v>
      </c>
      <c r="E518" s="17">
        <f t="shared" si="38"/>
        <v>0</v>
      </c>
      <c r="F518" s="196">
        <f t="shared" si="37"/>
        <v>0</v>
      </c>
      <c r="G518" s="17"/>
      <c r="H518" s="17">
        <f>IFERROR( VLOOKUP(B518,Descargas!$B$3:$I$94,8,FALSE),0)</f>
        <v>0</v>
      </c>
      <c r="J518" s="200"/>
      <c r="K518" s="116">
        <f t="shared" si="36"/>
        <v>0</v>
      </c>
      <c r="L518" s="4"/>
      <c r="M518" s="4"/>
      <c r="N518" s="4"/>
    </row>
    <row r="519" spans="2:14">
      <c r="B519" s="116">
        <v>264</v>
      </c>
      <c r="C519" s="197"/>
      <c r="D519" s="177" t="s">
        <v>265</v>
      </c>
      <c r="E519" s="17">
        <f t="shared" si="38"/>
        <v>0</v>
      </c>
      <c r="F519" s="196">
        <f t="shared" si="37"/>
        <v>0</v>
      </c>
      <c r="G519" s="17"/>
      <c r="H519" s="17">
        <f>IFERROR( VLOOKUP(B519,Descargas!$B$3:$I$94,8,FALSE),0)</f>
        <v>0</v>
      </c>
      <c r="J519" s="200"/>
      <c r="K519" s="116">
        <f t="shared" si="36"/>
        <v>0</v>
      </c>
      <c r="L519" s="4"/>
      <c r="M519" s="4"/>
      <c r="N519" s="4"/>
    </row>
    <row r="520" spans="2:14" ht="12" customHeight="1">
      <c r="B520" s="116">
        <v>265</v>
      </c>
      <c r="C520" s="197"/>
      <c r="D520" s="177" t="s">
        <v>266</v>
      </c>
      <c r="E520" s="17">
        <f t="shared" si="38"/>
        <v>0</v>
      </c>
      <c r="F520" s="196">
        <f t="shared" si="37"/>
        <v>0</v>
      </c>
      <c r="G520" s="17"/>
      <c r="H520" s="17">
        <f>IFERROR( VLOOKUP(B520,Descargas!$B$3:$I$94,8,FALSE),0)</f>
        <v>0</v>
      </c>
      <c r="J520" s="200"/>
      <c r="K520" s="116">
        <f t="shared" si="36"/>
        <v>0</v>
      </c>
      <c r="L520" s="4"/>
      <c r="M520" s="4"/>
      <c r="N520" s="4"/>
    </row>
    <row r="521" spans="2:14" ht="12" customHeight="1">
      <c r="B521" s="116">
        <v>266</v>
      </c>
      <c r="C521" s="197"/>
      <c r="D521" s="177" t="s">
        <v>267</v>
      </c>
      <c r="E521" s="17">
        <f t="shared" si="38"/>
        <v>0</v>
      </c>
      <c r="F521" s="196">
        <f t="shared" si="37"/>
        <v>0</v>
      </c>
      <c r="G521" s="17"/>
      <c r="H521" s="17">
        <f>IFERROR( VLOOKUP(B521,Descargas!$B$3:$I$94,8,FALSE),0)</f>
        <v>0</v>
      </c>
      <c r="J521" s="200"/>
      <c r="K521" s="116">
        <f t="shared" si="36"/>
        <v>0</v>
      </c>
      <c r="L521" s="4"/>
      <c r="M521" s="4"/>
      <c r="N521" s="4"/>
    </row>
    <row r="522" spans="2:14">
      <c r="B522" s="116">
        <v>267</v>
      </c>
      <c r="C522" s="197"/>
      <c r="D522" s="180" t="s">
        <v>268</v>
      </c>
      <c r="E522" s="17">
        <f t="shared" si="38"/>
        <v>0</v>
      </c>
      <c r="F522" s="196">
        <f t="shared" si="37"/>
        <v>0</v>
      </c>
      <c r="G522" s="17"/>
      <c r="H522" s="17">
        <f>IFERROR( VLOOKUP(B522,Descargas!$B$3:$I$94,8,FALSE),0)</f>
        <v>0</v>
      </c>
      <c r="J522" s="200"/>
      <c r="K522" s="116">
        <f t="shared" si="36"/>
        <v>0</v>
      </c>
      <c r="L522" s="4"/>
      <c r="M522" s="4"/>
      <c r="N522" s="4"/>
    </row>
    <row r="523" spans="2:14">
      <c r="B523" s="116">
        <v>268</v>
      </c>
      <c r="C523" s="197"/>
      <c r="D523" s="177" t="s">
        <v>269</v>
      </c>
      <c r="E523" s="17">
        <f t="shared" si="38"/>
        <v>0</v>
      </c>
      <c r="F523" s="196">
        <f t="shared" si="37"/>
        <v>0</v>
      </c>
      <c r="G523" s="17"/>
      <c r="H523" s="17">
        <f>IFERROR( VLOOKUP(B523,Descargas!$B$3:$I$94,8,FALSE),0)</f>
        <v>0</v>
      </c>
      <c r="J523" s="200"/>
      <c r="K523" s="116">
        <f t="shared" si="36"/>
        <v>0</v>
      </c>
      <c r="L523" s="4"/>
      <c r="M523" s="4"/>
      <c r="N523" s="4"/>
    </row>
    <row r="524" spans="2:14" ht="12" customHeight="1">
      <c r="B524" s="116">
        <v>269</v>
      </c>
      <c r="C524" s="197"/>
      <c r="D524" s="177" t="s">
        <v>270</v>
      </c>
      <c r="E524" s="17">
        <f t="shared" si="38"/>
        <v>0</v>
      </c>
      <c r="F524" s="196">
        <f t="shared" si="37"/>
        <v>0</v>
      </c>
      <c r="G524" s="17"/>
      <c r="H524" s="17">
        <f>IFERROR( VLOOKUP(B524,Descargas!$B$3:$I$94,8,FALSE),0)</f>
        <v>0</v>
      </c>
      <c r="J524" s="200"/>
      <c r="K524" s="116">
        <f t="shared" si="36"/>
        <v>0</v>
      </c>
      <c r="L524" s="4"/>
      <c r="M524" s="4"/>
      <c r="N524" s="4"/>
    </row>
    <row r="525" spans="2:14" ht="12" customHeight="1">
      <c r="B525" s="116">
        <v>270</v>
      </c>
      <c r="C525" s="197"/>
      <c r="D525" s="177" t="s">
        <v>271</v>
      </c>
      <c r="E525" s="17">
        <f t="shared" si="38"/>
        <v>0</v>
      </c>
      <c r="F525" s="196">
        <f t="shared" si="37"/>
        <v>0</v>
      </c>
      <c r="G525" s="17"/>
      <c r="H525" s="17">
        <f>IFERROR( VLOOKUP(B525,Descargas!$B$3:$I$94,8,FALSE),0)</f>
        <v>0</v>
      </c>
      <c r="J525" s="200"/>
      <c r="K525" s="116">
        <f t="shared" si="36"/>
        <v>0</v>
      </c>
      <c r="L525" s="4"/>
      <c r="M525" s="4"/>
      <c r="N525" s="4"/>
    </row>
    <row r="526" spans="2:14" ht="12" customHeight="1">
      <c r="B526" s="116">
        <v>271</v>
      </c>
      <c r="C526" s="197"/>
      <c r="D526" s="177" t="s">
        <v>272</v>
      </c>
      <c r="E526" s="17">
        <f t="shared" si="38"/>
        <v>0</v>
      </c>
      <c r="F526" s="196">
        <f t="shared" si="37"/>
        <v>0</v>
      </c>
      <c r="G526" s="17"/>
      <c r="H526" s="17">
        <f>IFERROR( VLOOKUP(B526,Descargas!$B$3:$I$94,8,FALSE),0)</f>
        <v>0</v>
      </c>
      <c r="J526" s="200"/>
      <c r="K526" s="116">
        <f t="shared" si="36"/>
        <v>0</v>
      </c>
      <c r="L526" s="4"/>
      <c r="M526" s="4"/>
      <c r="N526" s="4"/>
    </row>
    <row r="527" spans="2:14" ht="12" customHeight="1">
      <c r="B527" s="116">
        <v>272</v>
      </c>
      <c r="C527" s="197"/>
      <c r="D527" s="177" t="s">
        <v>273</v>
      </c>
      <c r="E527" s="17">
        <f t="shared" si="38"/>
        <v>0</v>
      </c>
      <c r="F527" s="196">
        <f t="shared" si="37"/>
        <v>0</v>
      </c>
      <c r="G527" s="17"/>
      <c r="H527" s="17">
        <f>IFERROR( VLOOKUP(B527,Descargas!$B$3:$I$94,8,FALSE),0)</f>
        <v>0</v>
      </c>
      <c r="J527" s="200"/>
      <c r="K527" s="116">
        <f t="shared" ref="K527:K543" si="39">+F527/$K$9</f>
        <v>0</v>
      </c>
      <c r="L527" s="4"/>
      <c r="M527" s="4"/>
      <c r="N527" s="4"/>
    </row>
    <row r="528" spans="2:14" ht="12" customHeight="1">
      <c r="B528" s="116">
        <v>273</v>
      </c>
      <c r="C528" s="197"/>
      <c r="D528" s="177" t="s">
        <v>274</v>
      </c>
      <c r="E528" s="17">
        <f t="shared" si="38"/>
        <v>0</v>
      </c>
      <c r="F528" s="196">
        <f t="shared" si="37"/>
        <v>0</v>
      </c>
      <c r="G528" s="17"/>
      <c r="H528" s="17">
        <f>IFERROR( VLOOKUP(B528,Descargas!$B$3:$I$94,8,FALSE),0)</f>
        <v>0</v>
      </c>
      <c r="J528" s="200"/>
      <c r="K528" s="116">
        <f t="shared" si="39"/>
        <v>0</v>
      </c>
      <c r="L528" s="4"/>
      <c r="M528" s="4"/>
      <c r="N528" s="4"/>
    </row>
    <row r="529" spans="2:14" ht="12" customHeight="1">
      <c r="B529" s="116">
        <v>274</v>
      </c>
      <c r="C529" s="197"/>
      <c r="D529" s="177" t="s">
        <v>276</v>
      </c>
      <c r="E529" s="17">
        <f t="shared" si="38"/>
        <v>0</v>
      </c>
      <c r="F529" s="196">
        <f t="shared" si="37"/>
        <v>0</v>
      </c>
      <c r="G529" s="17"/>
      <c r="H529" s="17">
        <f>IFERROR( VLOOKUP(B529,Descargas!$B$3:$I$94,8,FALSE),0)</f>
        <v>0</v>
      </c>
      <c r="J529" s="200"/>
      <c r="K529" s="116">
        <f t="shared" si="39"/>
        <v>0</v>
      </c>
      <c r="L529" s="4"/>
      <c r="M529" s="4"/>
      <c r="N529" s="4"/>
    </row>
    <row r="530" spans="2:14">
      <c r="B530" s="116">
        <v>275</v>
      </c>
      <c r="C530" s="197"/>
      <c r="D530" s="180" t="s">
        <v>277</v>
      </c>
      <c r="E530" s="17">
        <f>+SUM(H530:H530)</f>
        <v>0</v>
      </c>
      <c r="F530" s="196">
        <f t="shared" si="37"/>
        <v>0</v>
      </c>
      <c r="G530" s="17"/>
      <c r="H530" s="17">
        <f>IFERROR( VLOOKUP(B530,Descargas!$B$3:$I$94,8,FALSE),0)</f>
        <v>0</v>
      </c>
      <c r="J530" s="200"/>
      <c r="K530" s="116">
        <f t="shared" si="39"/>
        <v>0</v>
      </c>
      <c r="L530" s="4"/>
      <c r="M530" s="4"/>
      <c r="N530" s="4"/>
    </row>
    <row r="531" spans="2:14">
      <c r="B531" s="116">
        <v>276</v>
      </c>
      <c r="C531" s="197"/>
      <c r="D531" s="180" t="s">
        <v>278</v>
      </c>
      <c r="E531" s="17">
        <f>+SUM(H531:H531)</f>
        <v>0</v>
      </c>
      <c r="F531" s="196">
        <f t="shared" si="37"/>
        <v>0</v>
      </c>
      <c r="G531" s="17"/>
      <c r="H531" s="17">
        <f>IFERROR( VLOOKUP(B531,Descargas!$B$3:$I$94,8,FALSE),0)</f>
        <v>0</v>
      </c>
      <c r="J531" s="200"/>
      <c r="K531" s="116">
        <f t="shared" si="39"/>
        <v>0</v>
      </c>
      <c r="L531" s="4"/>
      <c r="M531" s="4"/>
      <c r="N531" s="4"/>
    </row>
    <row r="532" spans="2:14" ht="12" customHeight="1">
      <c r="B532" s="116">
        <v>278</v>
      </c>
      <c r="C532" s="197"/>
      <c r="D532" s="189" t="s">
        <v>280</v>
      </c>
      <c r="E532" s="17">
        <f>+SUM(H532:H532)</f>
        <v>0</v>
      </c>
      <c r="F532" s="196">
        <f t="shared" si="37"/>
        <v>0</v>
      </c>
      <c r="G532" s="17"/>
      <c r="H532" s="17">
        <f>IFERROR( VLOOKUP(B532,Descargas!$B$3:$I$94,8,FALSE),0)</f>
        <v>0</v>
      </c>
      <c r="J532" s="200"/>
      <c r="K532" s="116">
        <f t="shared" si="39"/>
        <v>0</v>
      </c>
      <c r="L532" s="4"/>
      <c r="M532" s="4"/>
      <c r="N532" s="4"/>
    </row>
    <row r="533" spans="2:14" ht="12" customHeight="1">
      <c r="B533" s="116">
        <v>277</v>
      </c>
      <c r="C533" s="197"/>
      <c r="D533" s="177" t="s">
        <v>279</v>
      </c>
      <c r="E533" s="17">
        <f t="shared" si="38"/>
        <v>0</v>
      </c>
      <c r="F533" s="196">
        <f t="shared" si="37"/>
        <v>0</v>
      </c>
      <c r="G533" s="17"/>
      <c r="H533" s="17">
        <f>IFERROR( VLOOKUP(B533,Descargas!$B$3:$I$94,8,FALSE),0)</f>
        <v>0</v>
      </c>
      <c r="J533" s="200"/>
      <c r="K533" s="116">
        <f t="shared" si="39"/>
        <v>0</v>
      </c>
      <c r="L533" s="4"/>
      <c r="M533" s="4"/>
      <c r="N533" s="4"/>
    </row>
    <row r="534" spans="2:14">
      <c r="B534" s="116">
        <v>279</v>
      </c>
      <c r="C534" s="197"/>
      <c r="D534" s="177">
        <v>279</v>
      </c>
      <c r="E534" s="17">
        <f t="shared" si="38"/>
        <v>0</v>
      </c>
      <c r="F534" s="196">
        <f t="shared" si="37"/>
        <v>0</v>
      </c>
      <c r="G534" s="17"/>
      <c r="H534" s="17">
        <f>IFERROR( VLOOKUP(B534,Descargas!$B$3:$I$94,8,FALSE),0)</f>
        <v>0</v>
      </c>
      <c r="J534" s="200"/>
      <c r="K534" s="116">
        <f t="shared" si="39"/>
        <v>0</v>
      </c>
      <c r="L534" s="4"/>
      <c r="M534" s="4"/>
      <c r="N534" s="4"/>
    </row>
    <row r="535" spans="2:14">
      <c r="B535" s="116">
        <v>280</v>
      </c>
      <c r="C535" s="197"/>
      <c r="D535" s="177">
        <v>280</v>
      </c>
      <c r="E535" s="17">
        <f t="shared" si="38"/>
        <v>0</v>
      </c>
      <c r="F535" s="196">
        <f t="shared" si="37"/>
        <v>0</v>
      </c>
      <c r="G535" s="17"/>
      <c r="H535" s="17">
        <f>IFERROR( VLOOKUP(B535,Descargas!$B$3:$I$94,8,FALSE),0)</f>
        <v>0</v>
      </c>
      <c r="J535" s="200"/>
      <c r="K535" s="116">
        <f t="shared" si="39"/>
        <v>0</v>
      </c>
      <c r="L535" s="4"/>
      <c r="M535" s="4"/>
      <c r="N535" s="4"/>
    </row>
    <row r="536" spans="2:14">
      <c r="B536" s="116">
        <v>282</v>
      </c>
      <c r="C536" s="197"/>
      <c r="D536" s="177">
        <v>282</v>
      </c>
      <c r="E536" s="17">
        <f t="shared" si="38"/>
        <v>0</v>
      </c>
      <c r="F536" s="196">
        <f t="shared" ref="F536:F542" si="40">+SUM(H536:H536)</f>
        <v>0</v>
      </c>
      <c r="G536" s="17"/>
      <c r="H536" s="17">
        <f>IFERROR( VLOOKUP(B536,Descargas!$B$3:$I$94,8,FALSE),0)</f>
        <v>0</v>
      </c>
      <c r="J536" s="200"/>
      <c r="K536" s="116">
        <f t="shared" si="39"/>
        <v>0</v>
      </c>
      <c r="L536" s="4"/>
      <c r="M536" s="4"/>
      <c r="N536" s="4"/>
    </row>
    <row r="537" spans="2:14">
      <c r="B537" s="116">
        <v>283</v>
      </c>
      <c r="C537" s="197"/>
      <c r="D537" s="177">
        <v>283</v>
      </c>
      <c r="E537" s="17">
        <f t="shared" si="38"/>
        <v>0</v>
      </c>
      <c r="F537" s="196"/>
      <c r="G537" s="17"/>
      <c r="H537" s="17">
        <f>IFERROR( VLOOKUP(B537,Descargas!$B$3:$I$94,8,FALSE),0)</f>
        <v>0</v>
      </c>
      <c r="J537" s="200"/>
      <c r="L537" s="4"/>
      <c r="M537" s="4"/>
      <c r="N537" s="4"/>
    </row>
    <row r="538" spans="2:14" ht="12" customHeight="1">
      <c r="B538" s="116">
        <v>286</v>
      </c>
      <c r="C538" s="197"/>
      <c r="D538" s="177">
        <v>286</v>
      </c>
      <c r="E538" s="17">
        <f t="shared" si="38"/>
        <v>0</v>
      </c>
      <c r="F538" s="196">
        <f t="shared" si="40"/>
        <v>0</v>
      </c>
      <c r="G538" s="17"/>
      <c r="H538" s="17">
        <f>IFERROR( VLOOKUP(B538,Descargas!$B$3:$I$94,8,FALSE),0)</f>
        <v>0</v>
      </c>
      <c r="J538" s="200"/>
      <c r="K538" s="116">
        <f t="shared" si="39"/>
        <v>0</v>
      </c>
      <c r="L538" s="4"/>
      <c r="M538" s="4"/>
      <c r="N538" s="4"/>
    </row>
    <row r="539" spans="2:14" ht="12" customHeight="1">
      <c r="B539" s="116">
        <v>290</v>
      </c>
      <c r="C539" s="197"/>
      <c r="D539" s="177">
        <v>290</v>
      </c>
      <c r="E539" s="17">
        <f t="shared" si="38"/>
        <v>0</v>
      </c>
      <c r="F539" s="196">
        <f t="shared" si="40"/>
        <v>0</v>
      </c>
      <c r="G539" s="17"/>
      <c r="H539" s="17">
        <f>IFERROR( VLOOKUP(B539,Descargas!$B$3:$I$94,8,FALSE),0)</f>
        <v>0</v>
      </c>
      <c r="J539" s="200"/>
      <c r="K539" s="116">
        <f t="shared" si="39"/>
        <v>0</v>
      </c>
      <c r="L539" s="4"/>
      <c r="M539" s="4"/>
      <c r="N539" s="4"/>
    </row>
    <row r="540" spans="2:14">
      <c r="B540" s="116">
        <v>291</v>
      </c>
      <c r="C540" s="197"/>
      <c r="D540" s="177">
        <v>291</v>
      </c>
      <c r="E540" s="17">
        <f t="shared" si="38"/>
        <v>0</v>
      </c>
      <c r="F540" s="196">
        <f t="shared" si="40"/>
        <v>0</v>
      </c>
      <c r="G540" s="17"/>
      <c r="H540" s="17">
        <f>IFERROR( VLOOKUP(B540,Descargas!$B$3:$I$94,8,FALSE),0)</f>
        <v>0</v>
      </c>
      <c r="J540" s="200"/>
      <c r="K540" s="116">
        <f t="shared" si="39"/>
        <v>0</v>
      </c>
      <c r="L540" s="4"/>
      <c r="M540" s="4"/>
      <c r="N540" s="4"/>
    </row>
    <row r="541" spans="2:14">
      <c r="B541" s="116">
        <v>292</v>
      </c>
      <c r="C541" s="197"/>
      <c r="D541" s="177">
        <v>292</v>
      </c>
      <c r="E541" s="17">
        <f t="shared" si="38"/>
        <v>0</v>
      </c>
      <c r="F541" s="196">
        <f t="shared" si="40"/>
        <v>0</v>
      </c>
      <c r="G541" s="17"/>
      <c r="H541" s="17">
        <f>IFERROR( VLOOKUP(B541,Descargas!$B$3:$I$94,8,FALSE),0)</f>
        <v>0</v>
      </c>
      <c r="J541" s="200"/>
      <c r="K541" s="116">
        <f t="shared" si="39"/>
        <v>0</v>
      </c>
      <c r="L541" s="4"/>
      <c r="M541" s="4"/>
      <c r="N541" s="4"/>
    </row>
    <row r="542" spans="2:14">
      <c r="B542" s="116">
        <v>293</v>
      </c>
      <c r="C542" s="197"/>
      <c r="D542" s="177">
        <v>293</v>
      </c>
      <c r="E542" s="17">
        <f t="shared" si="38"/>
        <v>0</v>
      </c>
      <c r="F542" s="196">
        <f t="shared" si="40"/>
        <v>0</v>
      </c>
      <c r="G542" s="17"/>
      <c r="H542" s="17">
        <f>IFERROR( VLOOKUP(B542,Descargas!$B$3:$I$94,8,FALSE),0)</f>
        <v>0</v>
      </c>
      <c r="J542" s="200"/>
      <c r="K542" s="116">
        <f t="shared" si="39"/>
        <v>0</v>
      </c>
      <c r="L542" s="4"/>
      <c r="M542" s="4"/>
      <c r="N542" s="4"/>
    </row>
    <row r="543" spans="2:14">
      <c r="C543" s="201">
        <f>+F3</f>
        <v>41220</v>
      </c>
      <c r="D543" s="202" t="s">
        <v>48</v>
      </c>
      <c r="E543" s="203">
        <f>SUM(E279:E542)</f>
        <v>0</v>
      </c>
      <c r="F543" s="204">
        <f>+SUM(F279:F542)</f>
        <v>0</v>
      </c>
      <c r="G543" s="203"/>
      <c r="H543" s="203">
        <f>+SUM(H279:H542)</f>
        <v>0</v>
      </c>
      <c r="K543" s="116">
        <f t="shared" si="39"/>
        <v>0</v>
      </c>
      <c r="L543" s="4"/>
      <c r="M543" s="4"/>
      <c r="N543" s="4"/>
    </row>
    <row r="544" spans="2:14" ht="12" customHeight="1">
      <c r="C544" s="136"/>
      <c r="D544" s="142"/>
      <c r="E544" s="145" t="s">
        <v>88</v>
      </c>
      <c r="F544" s="145"/>
      <c r="G544" s="145"/>
      <c r="H544" s="144"/>
      <c r="L544" s="4"/>
      <c r="M544" s="4"/>
      <c r="N544" s="4"/>
    </row>
    <row r="545" spans="3:14" ht="12" customHeight="1">
      <c r="C545" s="136"/>
      <c r="D545" s="137"/>
      <c r="E545" s="138" t="s">
        <v>88</v>
      </c>
      <c r="F545" s="138"/>
      <c r="G545" s="138"/>
      <c r="H545" s="139"/>
      <c r="L545" s="4"/>
      <c r="M545" s="4"/>
      <c r="N545" s="4"/>
    </row>
    <row r="546" spans="3:14">
      <c r="C546" s="141"/>
      <c r="D546" s="205"/>
      <c r="E546" s="145" t="s">
        <v>88</v>
      </c>
      <c r="F546" s="145"/>
      <c r="G546" s="145"/>
      <c r="H546" s="144"/>
      <c r="L546" s="4"/>
      <c r="M546" s="4"/>
      <c r="N546" s="4"/>
    </row>
    <row r="547" spans="3:14">
      <c r="C547" s="141"/>
      <c r="D547" s="142"/>
      <c r="E547" s="143" t="s">
        <v>88</v>
      </c>
      <c r="F547" s="145"/>
      <c r="G547" s="24">
        <f>+F3</f>
        <v>41220</v>
      </c>
      <c r="H547" s="144"/>
      <c r="L547" s="4"/>
      <c r="M547" s="4"/>
      <c r="N547" s="4"/>
    </row>
    <row r="548" spans="3:14">
      <c r="C548" s="141"/>
      <c r="D548" s="142"/>
      <c r="E548" s="145"/>
      <c r="F548" s="145"/>
      <c r="G548" s="146"/>
      <c r="H548" s="144"/>
      <c r="L548" s="4"/>
      <c r="M548" s="4"/>
      <c r="N548" s="4"/>
    </row>
    <row r="549" spans="3:14">
      <c r="C549" s="141"/>
      <c r="D549" s="148" t="s">
        <v>0</v>
      </c>
      <c r="E549" s="147"/>
      <c r="F549" s="145"/>
      <c r="G549" s="145"/>
      <c r="H549" s="144"/>
      <c r="L549" s="4"/>
      <c r="M549" s="4"/>
      <c r="N549" s="4"/>
    </row>
    <row r="550" spans="3:14">
      <c r="C550" s="141"/>
      <c r="D550" s="148"/>
      <c r="E550" s="147"/>
      <c r="F550" s="206"/>
      <c r="G550" s="207"/>
      <c r="H550" s="208"/>
      <c r="L550" s="4"/>
      <c r="M550" s="4"/>
      <c r="N550" s="4"/>
    </row>
    <row r="551" spans="3:14">
      <c r="C551" s="141"/>
      <c r="D551" s="142"/>
      <c r="E551" s="145"/>
      <c r="F551" s="145"/>
      <c r="G551" s="145"/>
      <c r="H551" s="209"/>
      <c r="L551" s="4"/>
      <c r="M551" s="4"/>
      <c r="N551" s="4"/>
    </row>
    <row r="552" spans="3:14">
      <c r="C552" s="141"/>
      <c r="D552" s="210" t="s">
        <v>49</v>
      </c>
      <c r="E552" s="25" t="s">
        <v>281</v>
      </c>
      <c r="F552" s="25" t="s">
        <v>282</v>
      </c>
      <c r="G552" s="25" t="s">
        <v>50</v>
      </c>
      <c r="H552" s="211">
        <v>20</v>
      </c>
      <c r="L552" s="4"/>
      <c r="M552" s="4"/>
      <c r="N552" s="4"/>
    </row>
    <row r="553" spans="3:14">
      <c r="C553" s="141"/>
      <c r="D553" s="210"/>
      <c r="E553" s="185"/>
      <c r="F553" s="185"/>
      <c r="G553" s="185"/>
      <c r="H553" s="185"/>
      <c r="L553" s="4"/>
      <c r="M553" s="4"/>
      <c r="N553" s="4"/>
    </row>
    <row r="554" spans="3:14">
      <c r="C554" s="141"/>
      <c r="D554" s="189"/>
      <c r="E554" s="185"/>
      <c r="F554" s="178"/>
      <c r="G554" s="178"/>
      <c r="H554" s="178"/>
      <c r="L554" s="4"/>
      <c r="M554" s="4"/>
      <c r="N554" s="4"/>
    </row>
    <row r="555" spans="3:14">
      <c r="C555" s="141"/>
      <c r="D555" s="189"/>
      <c r="E555" s="178"/>
      <c r="F555" s="178"/>
      <c r="G555" s="178"/>
      <c r="H555" s="178"/>
      <c r="L555" s="4"/>
      <c r="M555" s="4"/>
      <c r="N555" s="4"/>
    </row>
    <row r="556" spans="3:14">
      <c r="C556" s="141"/>
      <c r="D556" s="12" t="s">
        <v>5</v>
      </c>
      <c r="E556" s="212">
        <f>+E543</f>
        <v>0</v>
      </c>
      <c r="F556" s="212">
        <f>+F278</f>
        <v>0</v>
      </c>
      <c r="G556" s="213">
        <f>+G14+E556-F556</f>
        <v>0</v>
      </c>
      <c r="H556" s="214">
        <f>+H11+H278</f>
        <v>0</v>
      </c>
      <c r="L556" s="4"/>
      <c r="M556" s="4"/>
      <c r="N556" s="4"/>
    </row>
    <row r="557" spans="3:14">
      <c r="C557" s="141"/>
      <c r="D557" s="189"/>
      <c r="E557" s="215"/>
      <c r="F557" s="178"/>
      <c r="G557" s="178"/>
      <c r="H557" s="178"/>
      <c r="L557" s="4"/>
      <c r="M557" s="4"/>
      <c r="N557" s="4"/>
    </row>
    <row r="558" spans="3:14">
      <c r="C558" s="141"/>
      <c r="D558" s="26" t="s">
        <v>65</v>
      </c>
      <c r="E558" s="27">
        <f>+COUNTIF(F15:F277,"&gt;0")</f>
        <v>0</v>
      </c>
      <c r="F558" s="138"/>
      <c r="G558" s="138"/>
      <c r="H558" s="139"/>
      <c r="L558" s="4"/>
      <c r="M558" s="4"/>
      <c r="N558" s="4"/>
    </row>
    <row r="559" spans="3:14">
      <c r="C559" s="141"/>
      <c r="D559" s="28" t="s">
        <v>66</v>
      </c>
      <c r="E559" s="27">
        <f>+COUNTIF(E287:E542,"&gt;0")</f>
        <v>0</v>
      </c>
      <c r="F559" s="145"/>
      <c r="G559" s="145"/>
      <c r="H559" s="144"/>
      <c r="L559" s="4"/>
      <c r="M559" s="4"/>
      <c r="N559" s="4"/>
    </row>
    <row r="560" spans="3:14">
      <c r="C560" s="141"/>
      <c r="D560" s="142"/>
      <c r="E560" s="145"/>
      <c r="F560" s="145"/>
      <c r="G560" s="145"/>
      <c r="H560" s="144"/>
      <c r="L560" s="4"/>
      <c r="M560" s="4"/>
      <c r="N560" s="4"/>
    </row>
    <row r="561" spans="2:25">
      <c r="C561" s="141"/>
      <c r="D561" s="142"/>
      <c r="E561" s="145"/>
      <c r="F561" s="145"/>
      <c r="G561" s="145"/>
      <c r="H561" s="144"/>
      <c r="L561" s="4"/>
      <c r="M561" s="4"/>
      <c r="N561" s="4"/>
    </row>
    <row r="562" spans="2:25">
      <c r="C562" s="141"/>
      <c r="D562" s="142"/>
      <c r="E562" s="145"/>
      <c r="F562" s="145"/>
      <c r="G562" s="145"/>
      <c r="H562" s="144"/>
      <c r="L562" s="4"/>
      <c r="M562" s="4"/>
      <c r="N562" s="4"/>
    </row>
    <row r="563" spans="2:25">
      <c r="C563" s="141"/>
      <c r="D563" s="142"/>
      <c r="E563" s="145"/>
      <c r="F563" s="145"/>
      <c r="G563" s="145"/>
      <c r="H563" s="144"/>
      <c r="L563" s="4"/>
      <c r="M563" s="4"/>
      <c r="N563" s="4"/>
    </row>
    <row r="564" spans="2:25">
      <c r="C564" s="141"/>
      <c r="D564" s="142"/>
      <c r="E564" s="145"/>
      <c r="F564" s="145"/>
      <c r="G564" s="145"/>
      <c r="H564" s="144"/>
      <c r="L564" s="4"/>
      <c r="M564" s="4"/>
      <c r="N564" s="4"/>
    </row>
    <row r="565" spans="2:25" s="21" customFormat="1" ht="23.25">
      <c r="B565" s="116"/>
      <c r="C565" s="299"/>
      <c r="D565" s="216"/>
      <c r="E565" s="217"/>
      <c r="F565" s="217"/>
      <c r="G565" s="218"/>
      <c r="H565" s="300"/>
      <c r="I565" s="198"/>
      <c r="J565" s="198"/>
      <c r="K565" s="116"/>
      <c r="L565" s="20"/>
      <c r="M565" s="20"/>
      <c r="N565" s="20"/>
      <c r="W565" s="23"/>
      <c r="X565" s="23"/>
      <c r="Y565" s="23"/>
    </row>
    <row r="566" spans="2:25" s="21" customFormat="1" ht="23.25">
      <c r="B566" s="116"/>
      <c r="C566" s="299"/>
      <c r="D566" s="293" t="s">
        <v>295</v>
      </c>
      <c r="E566" s="217"/>
      <c r="F566" s="217"/>
      <c r="G566" s="218"/>
      <c r="H566" s="300"/>
      <c r="I566" s="198"/>
      <c r="J566" s="199"/>
      <c r="K566" s="116"/>
      <c r="L566" s="20"/>
      <c r="M566" s="20"/>
      <c r="N566" s="20"/>
      <c r="W566" s="23"/>
      <c r="X566" s="23"/>
      <c r="Y566" s="23"/>
    </row>
    <row r="567" spans="2:25" s="21" customFormat="1" ht="23.25">
      <c r="B567" s="116"/>
      <c r="C567" s="299"/>
      <c r="D567" s="216"/>
      <c r="E567" s="217"/>
      <c r="F567" s="217"/>
      <c r="G567" s="218"/>
      <c r="H567" s="300"/>
      <c r="I567" s="198"/>
      <c r="J567" s="199"/>
      <c r="K567" s="116"/>
      <c r="L567" s="20"/>
      <c r="M567" s="20"/>
      <c r="N567" s="20"/>
      <c r="W567" s="23"/>
      <c r="X567" s="23"/>
      <c r="Y567" s="23"/>
    </row>
    <row r="568" spans="2:25" ht="23.25">
      <c r="C568" s="289"/>
      <c r="D568" s="290"/>
      <c r="E568" s="291"/>
      <c r="F568" s="291"/>
      <c r="G568" s="145"/>
      <c r="H568" s="144"/>
      <c r="L568" s="4"/>
      <c r="M568" s="4"/>
      <c r="N568" s="4"/>
    </row>
    <row r="569" spans="2:25" ht="23.25">
      <c r="C569" s="289"/>
      <c r="D569" s="294" t="s">
        <v>294</v>
      </c>
      <c r="E569" s="291"/>
      <c r="F569" s="291"/>
      <c r="G569" s="145"/>
      <c r="H569" s="144"/>
      <c r="L569" s="4"/>
      <c r="M569" s="4"/>
      <c r="N569" s="4"/>
    </row>
    <row r="570" spans="2:25" ht="23.25">
      <c r="C570" s="301"/>
      <c r="D570" s="296"/>
      <c r="E570" s="297"/>
      <c r="F570" s="297"/>
      <c r="G570" s="151"/>
      <c r="H570" s="152"/>
      <c r="L570" s="4"/>
      <c r="M570" s="4"/>
      <c r="N570" s="4"/>
    </row>
    <row r="571" spans="2:25" ht="18.75">
      <c r="C571" s="112"/>
      <c r="D571" s="219"/>
      <c r="E571" s="220"/>
      <c r="L571" s="4"/>
      <c r="M571" s="4"/>
      <c r="N571" s="4"/>
    </row>
    <row r="572" spans="2:25">
      <c r="L572" s="4"/>
      <c r="M572" s="4"/>
      <c r="N572" s="4"/>
    </row>
    <row r="573" spans="2:25">
      <c r="L573" s="4"/>
      <c r="M573" s="4"/>
      <c r="N573" s="4"/>
    </row>
    <row r="574" spans="2:25">
      <c r="L574" s="4"/>
      <c r="M574" s="4"/>
      <c r="N574" s="4"/>
    </row>
    <row r="575" spans="2:25">
      <c r="L575" s="4"/>
      <c r="M575" s="4"/>
      <c r="N575" s="4"/>
    </row>
    <row r="576" spans="2:25">
      <c r="L576" s="4"/>
      <c r="M576" s="4"/>
      <c r="N576" s="4"/>
    </row>
    <row r="577" spans="12:14">
      <c r="L577" s="4"/>
      <c r="M577" s="4"/>
      <c r="N577" s="4"/>
    </row>
    <row r="578" spans="12:14">
      <c r="L578" s="4"/>
      <c r="M578" s="4"/>
      <c r="N578" s="4"/>
    </row>
    <row r="579" spans="12:14">
      <c r="L579" s="4"/>
      <c r="M579" s="4"/>
      <c r="N579" s="4"/>
    </row>
    <row r="580" spans="12:14">
      <c r="L580" s="4"/>
      <c r="M580" s="4"/>
      <c r="N580" s="4"/>
    </row>
    <row r="581" spans="12:14">
      <c r="L581" s="4"/>
      <c r="M581" s="4"/>
      <c r="N581" s="4"/>
    </row>
    <row r="582" spans="12:14">
      <c r="L582" s="4"/>
      <c r="M582" s="4"/>
      <c r="N582" s="4"/>
    </row>
    <row r="583" spans="12:14">
      <c r="L583" s="4"/>
      <c r="M583" s="4"/>
      <c r="N583" s="4"/>
    </row>
    <row r="584" spans="12:14">
      <c r="L584" s="4"/>
      <c r="M584" s="4"/>
      <c r="N584" s="4"/>
    </row>
    <row r="585" spans="12:14">
      <c r="L585" s="4"/>
      <c r="M585" s="4"/>
      <c r="N585" s="4"/>
    </row>
    <row r="586" spans="12:14">
      <c r="L586" s="4"/>
      <c r="M586" s="4"/>
      <c r="N586" s="4"/>
    </row>
    <row r="587" spans="12:14">
      <c r="L587" s="4"/>
      <c r="M587" s="4"/>
      <c r="N587" s="4"/>
    </row>
    <row r="588" spans="12:14">
      <c r="L588" s="4"/>
      <c r="M588" s="4"/>
      <c r="N588" s="4"/>
    </row>
    <row r="589" spans="12:14">
      <c r="L589" s="4"/>
      <c r="M589" s="4"/>
      <c r="N589" s="4"/>
    </row>
    <row r="590" spans="12:14">
      <c r="L590" s="4"/>
      <c r="M590" s="4"/>
      <c r="N590" s="4"/>
    </row>
    <row r="591" spans="12:14">
      <c r="L591" s="4"/>
      <c r="M591" s="4"/>
      <c r="N591" s="4"/>
    </row>
    <row r="592" spans="12:14">
      <c r="L592" s="4"/>
      <c r="M592" s="4"/>
      <c r="N592" s="4"/>
    </row>
    <row r="593" spans="12:14">
      <c r="L593" s="4"/>
      <c r="M593" s="4"/>
      <c r="N593" s="4"/>
    </row>
    <row r="594" spans="12:14">
      <c r="L594" s="4"/>
      <c r="M594" s="4"/>
      <c r="N594" s="4"/>
    </row>
    <row r="595" spans="12:14">
      <c r="L595" s="4"/>
      <c r="M595" s="4"/>
      <c r="N595" s="4"/>
    </row>
    <row r="596" spans="12:14">
      <c r="L596" s="4"/>
      <c r="M596" s="4"/>
      <c r="N596" s="4"/>
    </row>
    <row r="597" spans="12:14">
      <c r="L597" s="4"/>
      <c r="M597" s="4"/>
      <c r="N597" s="4"/>
    </row>
    <row r="598" spans="12:14">
      <c r="L598" s="4"/>
      <c r="M598" s="4"/>
      <c r="N598" s="4"/>
    </row>
    <row r="599" spans="12:14">
      <c r="L599" s="4"/>
      <c r="M599" s="4"/>
      <c r="N599" s="4"/>
    </row>
    <row r="600" spans="12:14">
      <c r="L600" s="4"/>
      <c r="M600" s="4"/>
      <c r="N600" s="4"/>
    </row>
    <row r="601" spans="12:14">
      <c r="L601" s="4"/>
      <c r="M601" s="4"/>
      <c r="N601" s="4"/>
    </row>
    <row r="602" spans="12:14">
      <c r="L602" s="4"/>
      <c r="M602" s="4"/>
      <c r="N602" s="4"/>
    </row>
    <row r="603" spans="12:14">
      <c r="L603" s="4"/>
      <c r="M603" s="4"/>
      <c r="N603" s="4"/>
    </row>
    <row r="604" spans="12:14">
      <c r="L604" s="4"/>
      <c r="M604" s="4"/>
      <c r="N604" s="4"/>
    </row>
    <row r="605" spans="12:14">
      <c r="L605" s="4"/>
      <c r="M605" s="4"/>
      <c r="N605" s="4"/>
    </row>
    <row r="606" spans="12:14">
      <c r="L606" s="4"/>
      <c r="M606" s="4"/>
      <c r="N606" s="4"/>
    </row>
    <row r="607" spans="12:14">
      <c r="L607" s="4"/>
      <c r="M607" s="4"/>
      <c r="N607" s="4"/>
    </row>
    <row r="608" spans="12:14">
      <c r="L608" s="4"/>
      <c r="M608" s="4"/>
      <c r="N608" s="4"/>
    </row>
    <row r="609" spans="12:14">
      <c r="L609" s="4"/>
      <c r="M609" s="4"/>
      <c r="N609" s="4"/>
    </row>
    <row r="610" spans="12:14">
      <c r="L610" s="4"/>
      <c r="M610" s="4"/>
      <c r="N610" s="4"/>
    </row>
    <row r="611" spans="12:14">
      <c r="L611" s="4"/>
      <c r="M611" s="4"/>
      <c r="N611" s="4"/>
    </row>
    <row r="612" spans="12:14">
      <c r="L612" s="4"/>
      <c r="M612" s="4"/>
      <c r="N612" s="4"/>
    </row>
    <row r="613" spans="12:14">
      <c r="L613" s="4"/>
      <c r="M613" s="4"/>
      <c r="N613" s="4"/>
    </row>
    <row r="614" spans="12:14">
      <c r="L614" s="4"/>
      <c r="M614" s="4"/>
      <c r="N614" s="4"/>
    </row>
    <row r="615" spans="12:14">
      <c r="L615" s="4"/>
      <c r="M615" s="4"/>
      <c r="N615" s="4"/>
    </row>
    <row r="616" spans="12:14">
      <c r="L616" s="4"/>
      <c r="M616" s="4"/>
      <c r="N616" s="4"/>
    </row>
    <row r="617" spans="12:14">
      <c r="L617" s="4"/>
      <c r="M617" s="4"/>
      <c r="N617" s="4"/>
    </row>
    <row r="618" spans="12:14">
      <c r="L618" s="4"/>
      <c r="M618" s="4"/>
      <c r="N618" s="4"/>
    </row>
    <row r="619" spans="12:14">
      <c r="L619" s="4"/>
      <c r="M619" s="4"/>
      <c r="N619" s="4"/>
    </row>
    <row r="620" spans="12:14">
      <c r="L620" s="4"/>
      <c r="M620" s="4"/>
      <c r="N620" s="4"/>
    </row>
    <row r="621" spans="12:14">
      <c r="L621" s="4"/>
      <c r="M621" s="4"/>
      <c r="N621" s="4"/>
    </row>
    <row r="622" spans="12:14">
      <c r="L622" s="4"/>
      <c r="M622" s="4"/>
      <c r="N622" s="4"/>
    </row>
    <row r="623" spans="12:14">
      <c r="L623" s="4"/>
      <c r="M623" s="4"/>
      <c r="N623" s="4"/>
    </row>
    <row r="624" spans="12:14">
      <c r="L624" s="4"/>
      <c r="M624" s="4"/>
      <c r="N624" s="4"/>
    </row>
    <row r="625" spans="12:14">
      <c r="L625" s="4"/>
      <c r="M625" s="4"/>
      <c r="N625" s="4"/>
    </row>
    <row r="626" spans="12:14">
      <c r="L626" s="4"/>
      <c r="M626" s="4"/>
      <c r="N626" s="4"/>
    </row>
    <row r="627" spans="12:14">
      <c r="L627" s="4"/>
      <c r="M627" s="4"/>
      <c r="N627" s="4"/>
    </row>
    <row r="628" spans="12:14">
      <c r="L628" s="4"/>
      <c r="M628" s="4"/>
      <c r="N628" s="4"/>
    </row>
    <row r="629" spans="12:14">
      <c r="L629" s="4"/>
      <c r="M629" s="4"/>
      <c r="N629" s="4"/>
    </row>
    <row r="630" spans="12:14">
      <c r="L630" s="4"/>
      <c r="M630" s="4"/>
      <c r="N630" s="4"/>
    </row>
    <row r="631" spans="12:14">
      <c r="L631" s="4"/>
      <c r="M631" s="4"/>
      <c r="N631" s="4"/>
    </row>
    <row r="632" spans="12:14">
      <c r="L632" s="4"/>
      <c r="M632" s="4"/>
      <c r="N632" s="4"/>
    </row>
    <row r="633" spans="12:14">
      <c r="L633" s="4"/>
      <c r="M633" s="4"/>
      <c r="N633" s="4"/>
    </row>
    <row r="634" spans="12:14">
      <c r="L634" s="4"/>
      <c r="M634" s="4"/>
      <c r="N634" s="4"/>
    </row>
    <row r="635" spans="12:14">
      <c r="L635" s="4"/>
      <c r="M635" s="4"/>
      <c r="N635" s="4"/>
    </row>
    <row r="636" spans="12:14">
      <c r="L636" s="4"/>
      <c r="M636" s="4"/>
      <c r="N636" s="4"/>
    </row>
    <row r="637" spans="12:14">
      <c r="L637" s="4"/>
      <c r="M637" s="4"/>
      <c r="N637" s="4"/>
    </row>
    <row r="638" spans="12:14">
      <c r="L638" s="4"/>
      <c r="M638" s="4"/>
      <c r="N638" s="4"/>
    </row>
    <row r="639" spans="12:14">
      <c r="L639" s="4"/>
      <c r="M639" s="4"/>
      <c r="N639" s="4"/>
    </row>
    <row r="640" spans="12:14">
      <c r="L640" s="4"/>
      <c r="M640" s="4"/>
      <c r="N640" s="4"/>
    </row>
    <row r="641" spans="12:14">
      <c r="L641" s="4"/>
      <c r="M641" s="4"/>
      <c r="N641" s="4"/>
    </row>
    <row r="642" spans="12:14">
      <c r="L642" s="4"/>
      <c r="M642" s="4"/>
      <c r="N642" s="4"/>
    </row>
    <row r="643" spans="12:14">
      <c r="L643" s="4"/>
      <c r="M643" s="4"/>
      <c r="N643" s="4"/>
    </row>
    <row r="644" spans="12:14">
      <c r="L644" s="4"/>
      <c r="M644" s="4"/>
      <c r="N644" s="4"/>
    </row>
    <row r="645" spans="12:14">
      <c r="L645" s="4"/>
      <c r="M645" s="4"/>
      <c r="N645" s="4"/>
    </row>
    <row r="646" spans="12:14">
      <c r="L646" s="4"/>
      <c r="M646" s="4"/>
      <c r="N646" s="4"/>
    </row>
    <row r="647" spans="12:14">
      <c r="L647" s="4"/>
      <c r="M647" s="4"/>
      <c r="N647" s="4"/>
    </row>
    <row r="648" spans="12:14">
      <c r="L648" s="4"/>
      <c r="M648" s="4"/>
      <c r="N648" s="4"/>
    </row>
    <row r="649" spans="12:14">
      <c r="L649" s="4"/>
      <c r="M649" s="4"/>
      <c r="N649" s="4"/>
    </row>
    <row r="650" spans="12:14">
      <c r="L650" s="4"/>
      <c r="M650" s="4"/>
      <c r="N650" s="4"/>
    </row>
    <row r="651" spans="12:14">
      <c r="L651" s="4"/>
      <c r="M651" s="4"/>
      <c r="N651" s="4"/>
    </row>
    <row r="652" spans="12:14">
      <c r="L652" s="4"/>
      <c r="M652" s="4"/>
      <c r="N652" s="4"/>
    </row>
    <row r="653" spans="12:14">
      <c r="L653" s="4"/>
      <c r="M653" s="4"/>
      <c r="N653" s="4"/>
    </row>
    <row r="654" spans="12:14">
      <c r="L654" s="4"/>
      <c r="M654" s="4"/>
      <c r="N654" s="4"/>
    </row>
    <row r="655" spans="12:14">
      <c r="L655" s="4"/>
      <c r="M655" s="4"/>
      <c r="N655" s="4"/>
    </row>
    <row r="656" spans="12:14">
      <c r="L656" s="4"/>
      <c r="M656" s="4"/>
      <c r="N656" s="4"/>
    </row>
    <row r="657" spans="12:14">
      <c r="L657" s="4"/>
      <c r="M657" s="4"/>
      <c r="N657" s="4"/>
    </row>
    <row r="658" spans="12:14">
      <c r="L658" s="4"/>
      <c r="M658" s="4"/>
      <c r="N658" s="4"/>
    </row>
    <row r="659" spans="12:14">
      <c r="L659" s="4"/>
      <c r="M659" s="4"/>
      <c r="N659" s="4"/>
    </row>
    <row r="660" spans="12:14">
      <c r="L660" s="4"/>
      <c r="M660" s="4"/>
      <c r="N660" s="4"/>
    </row>
    <row r="661" spans="12:14">
      <c r="L661" s="4"/>
      <c r="M661" s="4"/>
      <c r="N661" s="4"/>
    </row>
    <row r="662" spans="12:14">
      <c r="L662" s="4"/>
      <c r="M662" s="4"/>
      <c r="N662" s="4"/>
    </row>
    <row r="663" spans="12:14">
      <c r="L663" s="4"/>
      <c r="M663" s="4"/>
      <c r="N663" s="4"/>
    </row>
    <row r="664" spans="12:14">
      <c r="L664" s="4"/>
      <c r="M664" s="4"/>
      <c r="N664" s="4"/>
    </row>
    <row r="665" spans="12:14">
      <c r="L665" s="4"/>
      <c r="M665" s="4"/>
      <c r="N665" s="4"/>
    </row>
    <row r="666" spans="12:14">
      <c r="L666" s="4"/>
      <c r="M666" s="4"/>
      <c r="N666" s="4"/>
    </row>
    <row r="667" spans="12:14">
      <c r="L667" s="4"/>
      <c r="M667" s="4"/>
      <c r="N667" s="4"/>
    </row>
    <row r="668" spans="12:14">
      <c r="L668" s="4"/>
      <c r="M668" s="4"/>
      <c r="N668" s="4"/>
    </row>
    <row r="669" spans="12:14">
      <c r="L669" s="4"/>
      <c r="M669" s="4"/>
      <c r="N669" s="4"/>
    </row>
    <row r="670" spans="12:14">
      <c r="L670" s="4"/>
      <c r="M670" s="4"/>
      <c r="N670" s="4"/>
    </row>
    <row r="671" spans="12:14">
      <c r="L671" s="4"/>
      <c r="M671" s="4"/>
      <c r="N671" s="4"/>
    </row>
    <row r="672" spans="12:14">
      <c r="L672" s="4"/>
      <c r="M672" s="4"/>
      <c r="N672" s="4"/>
    </row>
    <row r="673" spans="12:14">
      <c r="L673" s="4"/>
      <c r="M673" s="4"/>
      <c r="N673" s="4"/>
    </row>
    <row r="674" spans="12:14">
      <c r="L674" s="4"/>
      <c r="M674" s="4"/>
      <c r="N674" s="4"/>
    </row>
    <row r="675" spans="12:14">
      <c r="L675" s="4"/>
      <c r="M675" s="4"/>
      <c r="N675" s="4"/>
    </row>
    <row r="676" spans="12:14">
      <c r="L676" s="4"/>
      <c r="M676" s="4"/>
      <c r="N676" s="4"/>
    </row>
    <row r="677" spans="12:14">
      <c r="L677" s="4"/>
      <c r="M677" s="4"/>
      <c r="N677" s="4"/>
    </row>
    <row r="678" spans="12:14">
      <c r="L678" s="4"/>
      <c r="M678" s="4"/>
      <c r="N678" s="4"/>
    </row>
    <row r="679" spans="12:14">
      <c r="L679" s="4"/>
      <c r="M679" s="4"/>
      <c r="N679" s="4"/>
    </row>
    <row r="680" spans="12:14">
      <c r="L680" s="4"/>
      <c r="M680" s="4"/>
      <c r="N680" s="4"/>
    </row>
    <row r="681" spans="12:14">
      <c r="L681" s="4"/>
      <c r="M681" s="4"/>
      <c r="N681" s="4"/>
    </row>
    <row r="682" spans="12:14">
      <c r="L682" s="4"/>
      <c r="M682" s="4"/>
      <c r="N682" s="4"/>
    </row>
    <row r="683" spans="12:14">
      <c r="L683" s="4"/>
      <c r="M683" s="4"/>
      <c r="N683" s="4"/>
    </row>
    <row r="684" spans="12:14">
      <c r="L684" s="4"/>
      <c r="M684" s="4"/>
      <c r="N684" s="4"/>
    </row>
    <row r="685" spans="12:14">
      <c r="L685" s="4"/>
      <c r="M685" s="4"/>
      <c r="N685" s="4"/>
    </row>
    <row r="686" spans="12:14">
      <c r="L686" s="4"/>
      <c r="M686" s="4"/>
      <c r="N686" s="4"/>
    </row>
    <row r="687" spans="12:14">
      <c r="L687" s="4"/>
      <c r="M687" s="4"/>
      <c r="N687" s="4"/>
    </row>
    <row r="688" spans="12:14">
      <c r="L688" s="4"/>
      <c r="M688" s="4"/>
      <c r="N688" s="4"/>
    </row>
    <row r="689" spans="12:14">
      <c r="L689" s="4"/>
      <c r="M689" s="4"/>
      <c r="N689" s="4"/>
    </row>
    <row r="690" spans="12:14">
      <c r="L690" s="4"/>
      <c r="M690" s="4"/>
      <c r="N690" s="4"/>
    </row>
    <row r="691" spans="12:14">
      <c r="L691" s="4"/>
      <c r="M691" s="4"/>
      <c r="N691" s="4"/>
    </row>
    <row r="692" spans="12:14">
      <c r="L692" s="4"/>
      <c r="M692" s="4"/>
      <c r="N692" s="4"/>
    </row>
    <row r="693" spans="12:14">
      <c r="L693" s="4"/>
      <c r="M693" s="4"/>
      <c r="N693" s="4"/>
    </row>
    <row r="694" spans="12:14">
      <c r="L694" s="4"/>
      <c r="M694" s="4"/>
      <c r="N694" s="4"/>
    </row>
    <row r="695" spans="12:14">
      <c r="L695" s="4"/>
      <c r="M695" s="4"/>
      <c r="N695" s="4"/>
    </row>
    <row r="696" spans="12:14">
      <c r="L696" s="4"/>
      <c r="M696" s="4"/>
      <c r="N696" s="4"/>
    </row>
    <row r="697" spans="12:14">
      <c r="L697" s="4"/>
      <c r="M697" s="4"/>
      <c r="N697" s="4"/>
    </row>
    <row r="698" spans="12:14">
      <c r="L698" s="4"/>
      <c r="M698" s="4"/>
      <c r="N698" s="4"/>
    </row>
    <row r="699" spans="12:14">
      <c r="L699" s="4"/>
      <c r="M699" s="4"/>
      <c r="N699" s="4"/>
    </row>
    <row r="700" spans="12:14">
      <c r="L700" s="4"/>
      <c r="M700" s="4"/>
      <c r="N700" s="4"/>
    </row>
    <row r="701" spans="12:14">
      <c r="L701" s="4"/>
      <c r="M701" s="4"/>
      <c r="N701" s="4"/>
    </row>
    <row r="702" spans="12:14">
      <c r="L702" s="4"/>
      <c r="M702" s="4"/>
      <c r="N702" s="4"/>
    </row>
    <row r="703" spans="12:14">
      <c r="L703" s="4"/>
      <c r="M703" s="4"/>
      <c r="N703" s="4"/>
    </row>
    <row r="704" spans="12:14">
      <c r="L704" s="4"/>
      <c r="M704" s="4"/>
      <c r="N704" s="4"/>
    </row>
    <row r="705" spans="11:14">
      <c r="L705" s="4"/>
      <c r="M705" s="4"/>
      <c r="N705" s="4"/>
    </row>
    <row r="706" spans="11:14">
      <c r="L706" s="4"/>
      <c r="M706" s="4"/>
      <c r="N706" s="4"/>
    </row>
    <row r="707" spans="11:14">
      <c r="L707" s="4"/>
      <c r="M707" s="4"/>
      <c r="N707" s="4"/>
    </row>
    <row r="708" spans="11:14">
      <c r="L708" s="4"/>
      <c r="M708" s="4"/>
      <c r="N708" s="4"/>
    </row>
    <row r="709" spans="11:14">
      <c r="L709" s="4"/>
      <c r="M709" s="4"/>
      <c r="N709" s="4"/>
    </row>
    <row r="710" spans="11:14">
      <c r="L710" s="4"/>
      <c r="M710" s="4"/>
      <c r="N710" s="4"/>
    </row>
    <row r="711" spans="11:14">
      <c r="L711" s="4"/>
      <c r="M711" s="4"/>
      <c r="N711" s="4"/>
    </row>
    <row r="712" spans="11:14">
      <c r="L712" s="4"/>
      <c r="M712" s="4"/>
      <c r="N712" s="4"/>
    </row>
    <row r="713" spans="11:14">
      <c r="L713" s="4"/>
      <c r="M713" s="4"/>
      <c r="N713" s="4"/>
    </row>
    <row r="714" spans="11:14">
      <c r="L714" s="4"/>
      <c r="M714" s="4"/>
      <c r="N714" s="4"/>
    </row>
    <row r="715" spans="11:14">
      <c r="L715" s="4"/>
      <c r="M715" s="4"/>
      <c r="N715" s="4"/>
    </row>
    <row r="716" spans="11:14">
      <c r="L716" s="4"/>
      <c r="M716" s="4"/>
      <c r="N716" s="4"/>
    </row>
    <row r="717" spans="11:14">
      <c r="K717" s="118"/>
      <c r="L717" s="4"/>
      <c r="M717" s="4"/>
      <c r="N717" s="4"/>
    </row>
    <row r="718" spans="11:14">
      <c r="K718" s="118"/>
      <c r="L718" s="4"/>
      <c r="M718" s="4"/>
      <c r="N718" s="4"/>
    </row>
    <row r="719" spans="11:14">
      <c r="K719" s="118"/>
      <c r="L719" s="4"/>
      <c r="M719" s="4"/>
      <c r="N719" s="4"/>
    </row>
    <row r="720" spans="11:14">
      <c r="K720" s="118"/>
      <c r="L720" s="4"/>
      <c r="M720" s="4"/>
      <c r="N720" s="4"/>
    </row>
    <row r="721" spans="11:14">
      <c r="K721" s="118"/>
      <c r="L721" s="4"/>
      <c r="M721" s="4"/>
      <c r="N721" s="4"/>
    </row>
    <row r="722" spans="11:14">
      <c r="K722" s="118"/>
      <c r="L722" s="4"/>
      <c r="M722" s="4"/>
      <c r="N722" s="4"/>
    </row>
    <row r="723" spans="11:14">
      <c r="K723" s="118"/>
      <c r="L723" s="4"/>
      <c r="M723" s="4"/>
      <c r="N723" s="4"/>
    </row>
    <row r="724" spans="11:14">
      <c r="K724" s="118"/>
      <c r="L724" s="4"/>
      <c r="M724" s="4"/>
      <c r="N724" s="4"/>
    </row>
    <row r="725" spans="11:14">
      <c r="K725" s="118"/>
      <c r="L725" s="4"/>
      <c r="M725" s="4"/>
      <c r="N725" s="4"/>
    </row>
    <row r="726" spans="11:14">
      <c r="K726" s="118"/>
      <c r="L726" s="4"/>
      <c r="M726" s="4"/>
      <c r="N726" s="4"/>
    </row>
    <row r="727" spans="11:14">
      <c r="K727" s="118"/>
      <c r="L727" s="4"/>
      <c r="M727" s="4"/>
      <c r="N727" s="4"/>
    </row>
    <row r="728" spans="11:14">
      <c r="K728" s="118"/>
      <c r="L728" s="4"/>
      <c r="M728" s="4"/>
      <c r="N728" s="4"/>
    </row>
    <row r="729" spans="11:14">
      <c r="K729" s="118"/>
      <c r="L729" s="4"/>
      <c r="M729" s="4"/>
      <c r="N729" s="4"/>
    </row>
    <row r="730" spans="11:14">
      <c r="K730" s="118"/>
      <c r="L730" s="4"/>
      <c r="M730" s="4"/>
      <c r="N730" s="4"/>
    </row>
    <row r="731" spans="11:14">
      <c r="K731" s="118"/>
      <c r="L731" s="4"/>
      <c r="M731" s="4"/>
      <c r="N731" s="4"/>
    </row>
    <row r="732" spans="11:14">
      <c r="K732" s="118"/>
      <c r="L732" s="4"/>
      <c r="M732" s="4"/>
      <c r="N732" s="4"/>
    </row>
    <row r="733" spans="11:14">
      <c r="K733" s="118"/>
      <c r="L733" s="4"/>
      <c r="M733" s="4"/>
      <c r="N733" s="4"/>
    </row>
    <row r="734" spans="11:14">
      <c r="K734" s="118"/>
      <c r="L734" s="4"/>
      <c r="M734" s="4"/>
      <c r="N734" s="4"/>
    </row>
    <row r="735" spans="11:14">
      <c r="K735" s="118"/>
      <c r="L735" s="4"/>
      <c r="M735" s="4"/>
      <c r="N735" s="4"/>
    </row>
    <row r="736" spans="11:14">
      <c r="K736" s="118"/>
      <c r="L736" s="4"/>
      <c r="M736" s="4"/>
      <c r="N736" s="4"/>
    </row>
    <row r="737" spans="11:14">
      <c r="K737" s="118"/>
      <c r="L737" s="4"/>
      <c r="M737" s="4"/>
      <c r="N737" s="4"/>
    </row>
    <row r="738" spans="11:14">
      <c r="K738" s="118"/>
      <c r="L738" s="4"/>
      <c r="M738" s="4"/>
      <c r="N738" s="4"/>
    </row>
    <row r="739" spans="11:14">
      <c r="K739" s="118"/>
      <c r="L739" s="4"/>
      <c r="M739" s="4"/>
      <c r="N739" s="4"/>
    </row>
    <row r="740" spans="11:14">
      <c r="K740" s="118"/>
      <c r="L740" s="4"/>
      <c r="M740" s="4"/>
      <c r="N740" s="4"/>
    </row>
    <row r="741" spans="11:14">
      <c r="K741" s="118"/>
      <c r="L741" s="4"/>
      <c r="M741" s="4"/>
      <c r="N741" s="4"/>
    </row>
    <row r="742" spans="11:14">
      <c r="K742" s="118"/>
      <c r="L742" s="4"/>
      <c r="M742" s="4"/>
      <c r="N742" s="4"/>
    </row>
    <row r="743" spans="11:14">
      <c r="K743" s="118"/>
      <c r="L743" s="4"/>
      <c r="M743" s="4"/>
      <c r="N743" s="4"/>
    </row>
    <row r="744" spans="11:14">
      <c r="K744" s="118"/>
      <c r="L744" s="4"/>
      <c r="M744" s="4"/>
      <c r="N744" s="4"/>
    </row>
    <row r="745" spans="11:14">
      <c r="K745" s="118"/>
      <c r="L745" s="4"/>
      <c r="M745" s="4"/>
      <c r="N745" s="4"/>
    </row>
    <row r="746" spans="11:14">
      <c r="K746" s="118"/>
      <c r="L746" s="4"/>
      <c r="M746" s="4"/>
      <c r="N746" s="4"/>
    </row>
    <row r="747" spans="11:14">
      <c r="K747" s="118"/>
      <c r="L747" s="4"/>
      <c r="M747" s="4"/>
      <c r="N747" s="4"/>
    </row>
    <row r="748" spans="11:14">
      <c r="K748" s="118"/>
      <c r="L748" s="4"/>
      <c r="M748" s="4"/>
      <c r="N748" s="4"/>
    </row>
    <row r="749" spans="11:14">
      <c r="K749" s="118"/>
      <c r="L749" s="4"/>
      <c r="M749" s="4"/>
      <c r="N749" s="4"/>
    </row>
    <row r="750" spans="11:14">
      <c r="K750" s="118"/>
      <c r="L750" s="4"/>
      <c r="M750" s="4"/>
      <c r="N750" s="4"/>
    </row>
    <row r="751" spans="11:14">
      <c r="K751" s="118"/>
      <c r="L751" s="4"/>
      <c r="M751" s="4"/>
      <c r="N751" s="4"/>
    </row>
    <row r="752" spans="11:14">
      <c r="K752" s="118"/>
      <c r="L752" s="4"/>
      <c r="M752" s="4"/>
      <c r="N752" s="4"/>
    </row>
    <row r="753" spans="11:14">
      <c r="K753" s="118"/>
      <c r="L753" s="4"/>
      <c r="M753" s="4"/>
      <c r="N753" s="4"/>
    </row>
    <row r="754" spans="11:14">
      <c r="K754" s="118"/>
      <c r="L754" s="4"/>
      <c r="M754" s="4"/>
      <c r="N754" s="4"/>
    </row>
    <row r="755" spans="11:14">
      <c r="K755" s="118"/>
      <c r="L755" s="4"/>
      <c r="M755" s="4"/>
      <c r="N755" s="4"/>
    </row>
    <row r="756" spans="11:14">
      <c r="K756" s="118"/>
      <c r="L756" s="4"/>
      <c r="M756" s="4"/>
      <c r="N756" s="4"/>
    </row>
    <row r="757" spans="11:14">
      <c r="K757" s="118"/>
      <c r="L757" s="4"/>
      <c r="M757" s="4"/>
      <c r="N757" s="4"/>
    </row>
    <row r="758" spans="11:14">
      <c r="K758" s="118"/>
      <c r="L758" s="4"/>
      <c r="M758" s="4"/>
      <c r="N758" s="4"/>
    </row>
    <row r="759" spans="11:14">
      <c r="K759" s="118"/>
      <c r="L759" s="4"/>
      <c r="M759" s="4"/>
      <c r="N759" s="4"/>
    </row>
    <row r="760" spans="11:14">
      <c r="K760" s="118"/>
      <c r="L760" s="4"/>
      <c r="M760" s="4"/>
      <c r="N760" s="4"/>
    </row>
    <row r="761" spans="11:14">
      <c r="K761" s="118"/>
      <c r="L761" s="4"/>
      <c r="M761" s="4"/>
      <c r="N761" s="4"/>
    </row>
    <row r="762" spans="11:14">
      <c r="K762" s="118"/>
      <c r="L762" s="4"/>
      <c r="M762" s="4"/>
      <c r="N762" s="4"/>
    </row>
    <row r="763" spans="11:14">
      <c r="K763" s="118"/>
      <c r="L763" s="4"/>
      <c r="M763" s="4"/>
      <c r="N763" s="4"/>
    </row>
    <row r="764" spans="11:14">
      <c r="K764" s="118"/>
      <c r="L764" s="4"/>
      <c r="M764" s="4"/>
      <c r="N764" s="4"/>
    </row>
    <row r="765" spans="11:14">
      <c r="K765" s="118"/>
      <c r="L765" s="4"/>
      <c r="M765" s="4"/>
      <c r="N765" s="4"/>
    </row>
    <row r="766" spans="11:14">
      <c r="K766" s="118"/>
      <c r="L766" s="4"/>
      <c r="M766" s="4"/>
      <c r="N766" s="4"/>
    </row>
    <row r="767" spans="11:14">
      <c r="K767" s="118"/>
      <c r="L767" s="4"/>
      <c r="M767" s="4"/>
      <c r="N767" s="4"/>
    </row>
    <row r="768" spans="11:14">
      <c r="K768" s="118"/>
      <c r="L768" s="4"/>
      <c r="M768" s="4"/>
      <c r="N768" s="4"/>
    </row>
    <row r="769" spans="11:14">
      <c r="K769" s="118"/>
      <c r="L769" s="4"/>
      <c r="M769" s="4"/>
      <c r="N769" s="4"/>
    </row>
    <row r="770" spans="11:14">
      <c r="K770" s="118"/>
      <c r="L770" s="4"/>
      <c r="M770" s="4"/>
      <c r="N770" s="4"/>
    </row>
    <row r="771" spans="11:14">
      <c r="K771" s="118"/>
      <c r="L771" s="4"/>
      <c r="M771" s="4"/>
      <c r="N771" s="4"/>
    </row>
    <row r="772" spans="11:14">
      <c r="K772" s="118"/>
      <c r="L772" s="4"/>
      <c r="M772" s="4"/>
      <c r="N772" s="4"/>
    </row>
    <row r="773" spans="11:14">
      <c r="K773" s="118"/>
      <c r="L773" s="4"/>
      <c r="M773" s="4"/>
      <c r="N773" s="4"/>
    </row>
    <row r="774" spans="11:14">
      <c r="K774" s="118"/>
      <c r="L774" s="4"/>
      <c r="M774" s="4"/>
      <c r="N774" s="4"/>
    </row>
    <row r="775" spans="11:14">
      <c r="K775" s="118"/>
      <c r="L775" s="4"/>
      <c r="M775" s="4"/>
      <c r="N775" s="4"/>
    </row>
    <row r="776" spans="11:14">
      <c r="K776" s="118"/>
      <c r="L776" s="4"/>
      <c r="M776" s="4"/>
      <c r="N776" s="4"/>
    </row>
    <row r="777" spans="11:14">
      <c r="K777" s="118"/>
      <c r="L777" s="4"/>
      <c r="M777" s="4"/>
      <c r="N777" s="4"/>
    </row>
    <row r="778" spans="11:14">
      <c r="K778" s="118"/>
      <c r="L778" s="4"/>
      <c r="M778" s="4"/>
      <c r="N778" s="4"/>
    </row>
    <row r="779" spans="11:14">
      <c r="K779" s="118"/>
      <c r="L779" s="4"/>
      <c r="M779" s="4"/>
      <c r="N779" s="4"/>
    </row>
    <row r="780" spans="11:14">
      <c r="K780" s="118"/>
      <c r="L780" s="4"/>
      <c r="M780" s="4"/>
      <c r="N780" s="4"/>
    </row>
    <row r="781" spans="11:14">
      <c r="K781" s="118"/>
      <c r="L781" s="4"/>
      <c r="M781" s="4"/>
      <c r="N781" s="4"/>
    </row>
    <row r="782" spans="11:14">
      <c r="K782" s="118"/>
      <c r="L782" s="4"/>
      <c r="M782" s="4"/>
      <c r="N782" s="4"/>
    </row>
    <row r="783" spans="11:14">
      <c r="K783" s="118"/>
      <c r="L783" s="4"/>
      <c r="M783" s="4"/>
      <c r="N783" s="4"/>
    </row>
    <row r="784" spans="11:14">
      <c r="K784" s="118"/>
      <c r="L784" s="4"/>
      <c r="M784" s="4"/>
      <c r="N784" s="4"/>
    </row>
    <row r="785" spans="11:14">
      <c r="K785" s="118"/>
      <c r="L785" s="4"/>
      <c r="M785" s="4"/>
      <c r="N785" s="4"/>
    </row>
    <row r="786" spans="11:14">
      <c r="K786" s="118"/>
      <c r="L786" s="4"/>
      <c r="M786" s="4"/>
      <c r="N786" s="4"/>
    </row>
    <row r="787" spans="11:14">
      <c r="K787" s="118"/>
      <c r="L787" s="4"/>
      <c r="M787" s="4"/>
      <c r="N787" s="4"/>
    </row>
    <row r="788" spans="11:14">
      <c r="K788" s="118"/>
      <c r="L788" s="4"/>
      <c r="M788" s="4"/>
      <c r="N788" s="4"/>
    </row>
    <row r="789" spans="11:14">
      <c r="K789" s="118"/>
      <c r="L789" s="4"/>
      <c r="M789" s="4"/>
      <c r="N789" s="4"/>
    </row>
    <row r="790" spans="11:14">
      <c r="K790" s="118"/>
      <c r="L790" s="4"/>
      <c r="M790" s="4"/>
      <c r="N790" s="4"/>
    </row>
    <row r="791" spans="11:14">
      <c r="K791" s="118"/>
      <c r="L791" s="4"/>
      <c r="M791" s="4"/>
      <c r="N791" s="4"/>
    </row>
    <row r="792" spans="11:14">
      <c r="K792" s="118"/>
      <c r="L792" s="4"/>
      <c r="M792" s="4"/>
      <c r="N792" s="4"/>
    </row>
    <row r="793" spans="11:14">
      <c r="K793" s="118"/>
      <c r="L793" s="4"/>
      <c r="M793" s="4"/>
      <c r="N793" s="4"/>
    </row>
    <row r="794" spans="11:14">
      <c r="K794" s="118"/>
      <c r="L794" s="4"/>
      <c r="M794" s="4"/>
      <c r="N794" s="4"/>
    </row>
    <row r="795" spans="11:14">
      <c r="K795" s="118"/>
      <c r="L795" s="4"/>
      <c r="M795" s="4"/>
      <c r="N795" s="4"/>
    </row>
    <row r="796" spans="11:14">
      <c r="K796" s="118"/>
      <c r="L796" s="4"/>
      <c r="M796" s="4"/>
      <c r="N796" s="4"/>
    </row>
    <row r="797" spans="11:14">
      <c r="K797" s="118"/>
      <c r="L797" s="4"/>
      <c r="M797" s="4"/>
      <c r="N797" s="4"/>
    </row>
    <row r="798" spans="11:14">
      <c r="K798" s="118"/>
      <c r="L798" s="4"/>
      <c r="M798" s="4"/>
      <c r="N798" s="4"/>
    </row>
    <row r="799" spans="11:14">
      <c r="K799" s="118"/>
      <c r="L799" s="4"/>
      <c r="M799" s="4"/>
      <c r="N799" s="4"/>
    </row>
    <row r="800" spans="11:14">
      <c r="K800" s="118"/>
      <c r="L800" s="4"/>
      <c r="M800" s="4"/>
      <c r="N800" s="4"/>
    </row>
    <row r="801" spans="11:14">
      <c r="K801" s="118"/>
      <c r="L801" s="4"/>
      <c r="M801" s="4"/>
      <c r="N801" s="4"/>
    </row>
    <row r="802" spans="11:14">
      <c r="K802" s="118"/>
      <c r="L802" s="4"/>
      <c r="M802" s="4"/>
      <c r="N802" s="4"/>
    </row>
    <row r="803" spans="11:14">
      <c r="K803" s="118"/>
      <c r="L803" s="4"/>
      <c r="M803" s="4"/>
      <c r="N803" s="4"/>
    </row>
    <row r="804" spans="11:14">
      <c r="K804" s="118"/>
      <c r="L804" s="4"/>
      <c r="M804" s="4"/>
      <c r="N804" s="4"/>
    </row>
    <row r="805" spans="11:14">
      <c r="K805" s="118"/>
      <c r="L805" s="4"/>
      <c r="M805" s="4"/>
      <c r="N805" s="4"/>
    </row>
    <row r="806" spans="11:14">
      <c r="K806" s="118"/>
      <c r="L806" s="4"/>
      <c r="M806" s="4"/>
      <c r="N806" s="4"/>
    </row>
    <row r="807" spans="11:14">
      <c r="K807" s="118"/>
      <c r="L807" s="4"/>
      <c r="M807" s="4"/>
      <c r="N807" s="4"/>
    </row>
    <row r="808" spans="11:14">
      <c r="K808" s="118"/>
      <c r="L808" s="4"/>
      <c r="M808" s="4"/>
      <c r="N808" s="4"/>
    </row>
    <row r="809" spans="11:14">
      <c r="K809" s="118"/>
      <c r="L809" s="4"/>
      <c r="M809" s="4"/>
      <c r="N809" s="4"/>
    </row>
    <row r="810" spans="11:14">
      <c r="K810" s="118"/>
      <c r="L810" s="4"/>
      <c r="M810" s="4"/>
      <c r="N810" s="4"/>
    </row>
    <row r="811" spans="11:14">
      <c r="K811" s="118"/>
      <c r="L811" s="4"/>
      <c r="M811" s="4"/>
      <c r="N811" s="4"/>
    </row>
    <row r="812" spans="11:14">
      <c r="K812" s="118"/>
      <c r="L812" s="4"/>
      <c r="M812" s="4"/>
      <c r="N812" s="4"/>
    </row>
    <row r="813" spans="11:14">
      <c r="K813" s="118"/>
      <c r="L813" s="4"/>
      <c r="M813" s="4"/>
      <c r="N813" s="4"/>
    </row>
    <row r="814" spans="11:14">
      <c r="K814" s="118"/>
      <c r="L814" s="4"/>
      <c r="M814" s="4"/>
      <c r="N814" s="4"/>
    </row>
    <row r="815" spans="11:14">
      <c r="K815" s="118"/>
      <c r="L815" s="4"/>
      <c r="M815" s="4"/>
      <c r="N815" s="4"/>
    </row>
    <row r="816" spans="11:14">
      <c r="K816" s="118"/>
      <c r="L816" s="4"/>
      <c r="M816" s="4"/>
      <c r="N816" s="4"/>
    </row>
    <row r="817" spans="11:14">
      <c r="K817" s="118"/>
      <c r="L817" s="4"/>
      <c r="M817" s="4"/>
      <c r="N817" s="4"/>
    </row>
    <row r="818" spans="11:14">
      <c r="K818" s="118"/>
      <c r="L818" s="4"/>
      <c r="M818" s="4"/>
      <c r="N818" s="4"/>
    </row>
    <row r="819" spans="11:14">
      <c r="K819" s="118"/>
      <c r="L819" s="4"/>
      <c r="M819" s="4"/>
      <c r="N819" s="4"/>
    </row>
    <row r="820" spans="11:14">
      <c r="K820" s="118"/>
      <c r="L820" s="4"/>
      <c r="M820" s="4"/>
      <c r="N820" s="4"/>
    </row>
    <row r="821" spans="11:14">
      <c r="K821" s="118"/>
      <c r="L821" s="4"/>
      <c r="M821" s="4"/>
      <c r="N821" s="4"/>
    </row>
    <row r="822" spans="11:14">
      <c r="K822" s="118"/>
      <c r="L822" s="4"/>
      <c r="M822" s="4"/>
      <c r="N822" s="4"/>
    </row>
    <row r="823" spans="11:14">
      <c r="K823" s="118"/>
      <c r="L823" s="4"/>
      <c r="M823" s="4"/>
      <c r="N823" s="4"/>
    </row>
    <row r="824" spans="11:14">
      <c r="K824" s="118"/>
      <c r="L824" s="4"/>
      <c r="M824" s="4"/>
      <c r="N824" s="4"/>
    </row>
    <row r="825" spans="11:14">
      <c r="K825" s="118"/>
      <c r="L825" s="4"/>
      <c r="M825" s="4"/>
      <c r="N825" s="4"/>
    </row>
    <row r="826" spans="11:14">
      <c r="K826" s="118"/>
      <c r="L826" s="4"/>
      <c r="M826" s="4"/>
      <c r="N826" s="4"/>
    </row>
    <row r="827" spans="11:14">
      <c r="K827" s="118"/>
      <c r="L827" s="4"/>
      <c r="M827" s="4"/>
      <c r="N827" s="4"/>
    </row>
    <row r="828" spans="11:14">
      <c r="K828" s="118"/>
      <c r="L828" s="4"/>
      <c r="M828" s="4"/>
      <c r="N828" s="4"/>
    </row>
    <row r="829" spans="11:14">
      <c r="K829" s="118"/>
      <c r="L829" s="4"/>
      <c r="M829" s="4"/>
      <c r="N829" s="4"/>
    </row>
    <row r="830" spans="11:14">
      <c r="K830" s="118"/>
      <c r="L830" s="4"/>
      <c r="M830" s="4"/>
      <c r="N830" s="4"/>
    </row>
    <row r="831" spans="11:14">
      <c r="K831" s="118"/>
      <c r="L831" s="4"/>
      <c r="M831" s="4"/>
      <c r="N831" s="4"/>
    </row>
    <row r="832" spans="11:14">
      <c r="K832" s="118"/>
      <c r="L832" s="4"/>
      <c r="M832" s="4"/>
      <c r="N832" s="4"/>
    </row>
    <row r="833" spans="11:14">
      <c r="K833" s="118"/>
      <c r="L833" s="4"/>
      <c r="M833" s="4"/>
      <c r="N833" s="4"/>
    </row>
    <row r="834" spans="11:14">
      <c r="K834" s="118"/>
      <c r="L834" s="4"/>
      <c r="M834" s="4"/>
      <c r="N834" s="4"/>
    </row>
    <row r="835" spans="11:14">
      <c r="K835" s="118"/>
      <c r="L835" s="4"/>
      <c r="M835" s="4"/>
      <c r="N835" s="4"/>
    </row>
    <row r="836" spans="11:14">
      <c r="K836" s="118"/>
      <c r="L836" s="4"/>
      <c r="M836" s="4"/>
      <c r="N836" s="4"/>
    </row>
    <row r="837" spans="11:14">
      <c r="K837" s="118"/>
      <c r="L837" s="4"/>
      <c r="M837" s="4"/>
      <c r="N837" s="4"/>
    </row>
    <row r="838" spans="11:14">
      <c r="K838" s="118"/>
      <c r="L838" s="4"/>
      <c r="M838" s="4"/>
      <c r="N838" s="4"/>
    </row>
    <row r="839" spans="11:14">
      <c r="K839" s="118"/>
      <c r="L839" s="4"/>
      <c r="M839" s="4"/>
      <c r="N839" s="4"/>
    </row>
    <row r="840" spans="11:14">
      <c r="K840" s="118"/>
      <c r="L840" s="4"/>
      <c r="M840" s="4"/>
      <c r="N840" s="4"/>
    </row>
    <row r="841" spans="11:14">
      <c r="K841" s="118"/>
      <c r="L841" s="4"/>
      <c r="M841" s="4"/>
      <c r="N841" s="4"/>
    </row>
    <row r="842" spans="11:14">
      <c r="K842" s="118"/>
      <c r="L842" s="4"/>
      <c r="M842" s="4"/>
      <c r="N842" s="4"/>
    </row>
    <row r="843" spans="11:14">
      <c r="K843" s="118"/>
      <c r="L843" s="4"/>
      <c r="M843" s="4"/>
      <c r="N843" s="4"/>
    </row>
    <row r="844" spans="11:14">
      <c r="K844" s="118"/>
      <c r="L844" s="4"/>
      <c r="M844" s="4"/>
      <c r="N844" s="4"/>
    </row>
    <row r="845" spans="11:14">
      <c r="K845" s="118"/>
      <c r="L845" s="4"/>
      <c r="M845" s="4"/>
      <c r="N845" s="4"/>
    </row>
    <row r="846" spans="11:14">
      <c r="K846" s="118"/>
      <c r="L846" s="4"/>
      <c r="M846" s="4"/>
      <c r="N846" s="4"/>
    </row>
    <row r="847" spans="11:14">
      <c r="K847" s="118"/>
      <c r="L847" s="4"/>
      <c r="M847" s="4"/>
      <c r="N847" s="4"/>
    </row>
    <row r="848" spans="11:14">
      <c r="K848" s="118"/>
      <c r="L848" s="4"/>
      <c r="M848" s="4"/>
      <c r="N848" s="4"/>
    </row>
    <row r="849" spans="11:14">
      <c r="K849" s="118"/>
      <c r="L849" s="4"/>
      <c r="M849" s="4"/>
      <c r="N849" s="4"/>
    </row>
    <row r="850" spans="11:14">
      <c r="K850" s="118"/>
      <c r="L850" s="4"/>
      <c r="M850" s="4"/>
      <c r="N850" s="4"/>
    </row>
    <row r="851" spans="11:14">
      <c r="K851" s="118"/>
      <c r="L851" s="4"/>
      <c r="M851" s="4"/>
      <c r="N851" s="4"/>
    </row>
    <row r="852" spans="11:14">
      <c r="K852" s="118"/>
      <c r="L852" s="4"/>
      <c r="M852" s="4"/>
      <c r="N852" s="4"/>
    </row>
    <row r="853" spans="11:14">
      <c r="K853" s="118"/>
      <c r="L853" s="4"/>
      <c r="M853" s="4"/>
      <c r="N853" s="4"/>
    </row>
    <row r="854" spans="11:14">
      <c r="K854" s="118"/>
      <c r="L854" s="4"/>
      <c r="M854" s="4"/>
      <c r="N854" s="4"/>
    </row>
    <row r="855" spans="11:14">
      <c r="K855" s="118"/>
      <c r="L855" s="4"/>
      <c r="M855" s="4"/>
      <c r="N855" s="4"/>
    </row>
    <row r="856" spans="11:14">
      <c r="K856" s="118"/>
      <c r="L856" s="4"/>
      <c r="M856" s="4"/>
      <c r="N856" s="4"/>
    </row>
    <row r="857" spans="11:14">
      <c r="K857" s="118"/>
      <c r="L857" s="4"/>
      <c r="M857" s="4"/>
      <c r="N857" s="4"/>
    </row>
    <row r="858" spans="11:14">
      <c r="K858" s="118"/>
      <c r="L858" s="4"/>
      <c r="M858" s="4"/>
      <c r="N858" s="4"/>
    </row>
    <row r="859" spans="11:14">
      <c r="K859" s="118"/>
      <c r="L859" s="4"/>
      <c r="M859" s="4"/>
      <c r="N859" s="4"/>
    </row>
    <row r="860" spans="11:14">
      <c r="K860" s="118"/>
      <c r="L860" s="4"/>
      <c r="M860" s="4"/>
      <c r="N860" s="4"/>
    </row>
    <row r="861" spans="11:14">
      <c r="K861" s="118"/>
      <c r="L861" s="4"/>
      <c r="M861" s="4"/>
      <c r="N861" s="4"/>
    </row>
    <row r="862" spans="11:14">
      <c r="K862" s="118"/>
      <c r="L862" s="4"/>
      <c r="M862" s="4"/>
      <c r="N862" s="4"/>
    </row>
    <row r="863" spans="11:14">
      <c r="K863" s="118"/>
      <c r="L863" s="4"/>
      <c r="M863" s="4"/>
      <c r="N863" s="4"/>
    </row>
    <row r="864" spans="11:14">
      <c r="K864" s="118"/>
      <c r="L864" s="4"/>
      <c r="M864" s="4"/>
      <c r="N864" s="4"/>
    </row>
    <row r="865" spans="11:14">
      <c r="K865" s="118"/>
      <c r="L865" s="4"/>
      <c r="M865" s="4"/>
      <c r="N865" s="4"/>
    </row>
    <row r="866" spans="11:14">
      <c r="K866" s="118"/>
      <c r="L866" s="4"/>
      <c r="M866" s="4"/>
      <c r="N866" s="4"/>
    </row>
    <row r="867" spans="11:14">
      <c r="K867" s="118"/>
      <c r="L867" s="4"/>
      <c r="M867" s="4"/>
      <c r="N867" s="4"/>
    </row>
    <row r="868" spans="11:14">
      <c r="K868" s="118"/>
      <c r="L868" s="4"/>
      <c r="M868" s="4"/>
      <c r="N868" s="4"/>
    </row>
    <row r="869" spans="11:14">
      <c r="K869" s="118"/>
      <c r="L869" s="4"/>
      <c r="M869" s="4"/>
      <c r="N869" s="4"/>
    </row>
    <row r="870" spans="11:14">
      <c r="K870" s="118"/>
      <c r="L870" s="4"/>
      <c r="M870" s="4"/>
      <c r="N870" s="4"/>
    </row>
    <row r="871" spans="11:14">
      <c r="K871" s="118"/>
      <c r="L871" s="4"/>
      <c r="M871" s="4"/>
      <c r="N871" s="4"/>
    </row>
    <row r="872" spans="11:14">
      <c r="K872" s="118"/>
      <c r="L872" s="4"/>
      <c r="M872" s="4"/>
      <c r="N872" s="4"/>
    </row>
    <row r="873" spans="11:14">
      <c r="K873" s="118"/>
      <c r="L873" s="4"/>
      <c r="M873" s="4"/>
      <c r="N873" s="4"/>
    </row>
    <row r="874" spans="11:14">
      <c r="K874" s="118"/>
      <c r="L874" s="4"/>
      <c r="M874" s="4"/>
      <c r="N874" s="4"/>
    </row>
    <row r="875" spans="11:14">
      <c r="K875" s="118"/>
      <c r="L875" s="4"/>
      <c r="M875" s="4"/>
      <c r="N875" s="4"/>
    </row>
    <row r="876" spans="11:14">
      <c r="K876" s="118"/>
      <c r="L876" s="4"/>
      <c r="M876" s="4"/>
      <c r="N876" s="4"/>
    </row>
    <row r="877" spans="11:14">
      <c r="K877" s="118"/>
      <c r="L877" s="4"/>
      <c r="M877" s="4"/>
      <c r="N877" s="4"/>
    </row>
    <row r="878" spans="11:14">
      <c r="K878" s="118"/>
      <c r="L878" s="4"/>
      <c r="M878" s="4"/>
      <c r="N878" s="4"/>
    </row>
    <row r="879" spans="11:14">
      <c r="K879" s="118"/>
      <c r="L879" s="4"/>
      <c r="M879" s="4"/>
      <c r="N879" s="4"/>
    </row>
    <row r="880" spans="11:14">
      <c r="K880" s="118"/>
      <c r="L880" s="4"/>
      <c r="M880" s="4"/>
      <c r="N880" s="4"/>
    </row>
    <row r="881" spans="11:14">
      <c r="K881" s="118"/>
      <c r="L881" s="4"/>
      <c r="M881" s="4"/>
      <c r="N881" s="4"/>
    </row>
    <row r="882" spans="11:14">
      <c r="K882" s="118"/>
      <c r="L882" s="4"/>
      <c r="M882" s="4"/>
      <c r="N882" s="4"/>
    </row>
    <row r="883" spans="11:14">
      <c r="K883" s="118"/>
      <c r="L883" s="4"/>
      <c r="M883" s="4"/>
      <c r="N883" s="4"/>
    </row>
    <row r="884" spans="11:14">
      <c r="K884" s="118"/>
      <c r="L884" s="4"/>
      <c r="M884" s="4"/>
      <c r="N884" s="4"/>
    </row>
    <row r="885" spans="11:14">
      <c r="K885" s="118"/>
      <c r="L885" s="4"/>
      <c r="M885" s="4"/>
      <c r="N885" s="4"/>
    </row>
    <row r="886" spans="11:14">
      <c r="K886" s="118"/>
      <c r="L886" s="4"/>
      <c r="M886" s="4"/>
      <c r="N886" s="4"/>
    </row>
    <row r="887" spans="11:14">
      <c r="K887" s="118"/>
      <c r="L887" s="4"/>
      <c r="M887" s="4"/>
      <c r="N887" s="4"/>
    </row>
    <row r="888" spans="11:14">
      <c r="K888" s="118"/>
      <c r="L888" s="4"/>
      <c r="M888" s="4"/>
      <c r="N888" s="4"/>
    </row>
    <row r="889" spans="11:14">
      <c r="K889" s="118"/>
      <c r="L889" s="4"/>
      <c r="M889" s="4"/>
      <c r="N889" s="4"/>
    </row>
    <row r="890" spans="11:14">
      <c r="K890" s="118"/>
      <c r="L890" s="4"/>
      <c r="M890" s="4"/>
      <c r="N890" s="4"/>
    </row>
    <row r="891" spans="11:14">
      <c r="K891" s="118"/>
      <c r="L891" s="4"/>
      <c r="M891" s="4"/>
      <c r="N891" s="4"/>
    </row>
    <row r="892" spans="11:14">
      <c r="K892" s="118"/>
      <c r="L892" s="4"/>
      <c r="M892" s="4"/>
      <c r="N892" s="4"/>
    </row>
    <row r="893" spans="11:14">
      <c r="K893" s="118"/>
      <c r="L893" s="4"/>
      <c r="M893" s="4"/>
      <c r="N893" s="4"/>
    </row>
    <row r="894" spans="11:14">
      <c r="K894" s="118"/>
      <c r="L894" s="4"/>
      <c r="M894" s="4"/>
      <c r="N894" s="4"/>
    </row>
    <row r="895" spans="11:14">
      <c r="K895" s="118"/>
      <c r="L895" s="4"/>
      <c r="M895" s="4"/>
      <c r="N895" s="4"/>
    </row>
    <row r="896" spans="11:14">
      <c r="K896" s="118"/>
      <c r="L896" s="4"/>
      <c r="M896" s="4"/>
      <c r="N896" s="4"/>
    </row>
    <row r="897" spans="11:14">
      <c r="K897" s="118"/>
      <c r="L897" s="4"/>
      <c r="M897" s="4"/>
      <c r="N897" s="4"/>
    </row>
    <row r="898" spans="11:14">
      <c r="K898" s="118"/>
      <c r="L898" s="4"/>
      <c r="M898" s="4"/>
      <c r="N898" s="4"/>
    </row>
    <row r="899" spans="11:14">
      <c r="K899" s="118"/>
      <c r="L899" s="4"/>
      <c r="M899" s="4"/>
      <c r="N899" s="4"/>
    </row>
    <row r="900" spans="11:14">
      <c r="K900" s="118"/>
      <c r="L900" s="4"/>
      <c r="M900" s="4"/>
      <c r="N900" s="4"/>
    </row>
    <row r="901" spans="11:14">
      <c r="K901" s="118"/>
      <c r="L901" s="4"/>
      <c r="M901" s="4"/>
      <c r="N901" s="4"/>
    </row>
    <row r="902" spans="11:14">
      <c r="K902" s="118"/>
      <c r="L902" s="4"/>
      <c r="M902" s="4"/>
      <c r="N902" s="4"/>
    </row>
    <row r="903" spans="11:14">
      <c r="K903" s="118"/>
      <c r="L903" s="4"/>
      <c r="M903" s="4"/>
      <c r="N903" s="4"/>
    </row>
    <row r="904" spans="11:14">
      <c r="K904" s="118"/>
      <c r="L904" s="4"/>
      <c r="M904" s="4"/>
      <c r="N904" s="4"/>
    </row>
    <row r="905" spans="11:14">
      <c r="K905" s="118"/>
      <c r="L905" s="4"/>
      <c r="M905" s="4"/>
      <c r="N905" s="4"/>
    </row>
    <row r="906" spans="11:14">
      <c r="K906" s="118"/>
      <c r="L906" s="4"/>
      <c r="M906" s="4"/>
      <c r="N906" s="4"/>
    </row>
    <row r="907" spans="11:14">
      <c r="K907" s="118"/>
      <c r="L907" s="4"/>
      <c r="M907" s="4"/>
      <c r="N907" s="4"/>
    </row>
    <row r="908" spans="11:14">
      <c r="K908" s="118"/>
      <c r="L908" s="4"/>
      <c r="M908" s="4"/>
      <c r="N908" s="4"/>
    </row>
    <row r="909" spans="11:14">
      <c r="K909" s="118"/>
      <c r="L909" s="4"/>
      <c r="M909" s="4"/>
      <c r="N909" s="4"/>
    </row>
    <row r="910" spans="11:14">
      <c r="K910" s="118"/>
      <c r="L910" s="4"/>
      <c r="M910" s="4"/>
      <c r="N910" s="4"/>
    </row>
    <row r="911" spans="11:14">
      <c r="K911" s="118"/>
      <c r="L911" s="4"/>
      <c r="M911" s="4"/>
      <c r="N911" s="4"/>
    </row>
    <row r="912" spans="11:14">
      <c r="K912" s="118"/>
      <c r="L912" s="4"/>
      <c r="M912" s="4"/>
      <c r="N912" s="4"/>
    </row>
    <row r="913" spans="11:14">
      <c r="K913" s="118"/>
      <c r="L913" s="4"/>
      <c r="M913" s="4"/>
      <c r="N913" s="4"/>
    </row>
    <row r="914" spans="11:14">
      <c r="K914" s="118"/>
      <c r="L914" s="4"/>
      <c r="M914" s="4"/>
      <c r="N914" s="4"/>
    </row>
    <row r="915" spans="11:14">
      <c r="K915" s="118"/>
      <c r="L915" s="4"/>
      <c r="M915" s="4"/>
      <c r="N915" s="4"/>
    </row>
    <row r="916" spans="11:14">
      <c r="K916" s="118"/>
      <c r="L916" s="4"/>
      <c r="M916" s="4"/>
      <c r="N916" s="4"/>
    </row>
    <row r="917" spans="11:14">
      <c r="K917" s="118"/>
      <c r="L917" s="4"/>
      <c r="M917" s="4"/>
      <c r="N917" s="4"/>
    </row>
    <row r="918" spans="11:14">
      <c r="K918" s="118"/>
      <c r="L918" s="4"/>
      <c r="M918" s="4"/>
      <c r="N918" s="4"/>
    </row>
    <row r="919" spans="11:14">
      <c r="K919" s="118"/>
      <c r="L919" s="4"/>
      <c r="M919" s="4"/>
      <c r="N919" s="4"/>
    </row>
    <row r="920" spans="11:14">
      <c r="K920" s="118"/>
      <c r="L920" s="4"/>
      <c r="M920" s="4"/>
      <c r="N920" s="4"/>
    </row>
    <row r="921" spans="11:14">
      <c r="K921" s="118"/>
      <c r="L921" s="4"/>
      <c r="M921" s="4"/>
      <c r="N921" s="4"/>
    </row>
    <row r="922" spans="11:14">
      <c r="K922" s="118"/>
      <c r="L922" s="4"/>
      <c r="M922" s="4"/>
      <c r="N922" s="4"/>
    </row>
    <row r="923" spans="11:14">
      <c r="K923" s="118"/>
      <c r="L923" s="4"/>
      <c r="M923" s="4"/>
      <c r="N923" s="4"/>
    </row>
    <row r="924" spans="11:14">
      <c r="K924" s="118"/>
      <c r="L924" s="4"/>
      <c r="M924" s="4"/>
      <c r="N924" s="4"/>
    </row>
    <row r="925" spans="11:14">
      <c r="K925" s="118"/>
      <c r="L925" s="4"/>
      <c r="M925" s="4"/>
      <c r="N925" s="4"/>
    </row>
    <row r="926" spans="11:14">
      <c r="K926" s="118"/>
      <c r="L926" s="4"/>
      <c r="M926" s="4"/>
      <c r="N926" s="4"/>
    </row>
    <row r="927" spans="11:14">
      <c r="K927" s="118"/>
      <c r="L927" s="4"/>
      <c r="M927" s="4"/>
      <c r="N927" s="4"/>
    </row>
    <row r="928" spans="11:14">
      <c r="K928" s="118"/>
      <c r="L928" s="4"/>
      <c r="M928" s="4"/>
      <c r="N928" s="4"/>
    </row>
    <row r="929" spans="11:14">
      <c r="K929" s="118"/>
      <c r="L929" s="4"/>
      <c r="M929" s="4"/>
      <c r="N929" s="4"/>
    </row>
    <row r="930" spans="11:14">
      <c r="K930" s="118"/>
      <c r="L930" s="4"/>
      <c r="M930" s="4"/>
      <c r="N930" s="4"/>
    </row>
    <row r="931" spans="11:14">
      <c r="K931" s="118"/>
      <c r="L931" s="4"/>
      <c r="M931" s="4"/>
      <c r="N931" s="4"/>
    </row>
    <row r="932" spans="11:14">
      <c r="K932" s="118"/>
      <c r="L932" s="4"/>
      <c r="M932" s="4"/>
      <c r="N932" s="4"/>
    </row>
    <row r="933" spans="11:14">
      <c r="K933" s="118"/>
      <c r="L933" s="4"/>
      <c r="M933" s="4"/>
      <c r="N933" s="4"/>
    </row>
    <row r="934" spans="11:14">
      <c r="K934" s="118"/>
      <c r="L934" s="4"/>
      <c r="M934" s="4"/>
      <c r="N934" s="4"/>
    </row>
    <row r="935" spans="11:14">
      <c r="K935" s="118"/>
      <c r="L935" s="4"/>
      <c r="M935" s="4"/>
      <c r="N935" s="4"/>
    </row>
    <row r="936" spans="11:14">
      <c r="K936" s="118"/>
      <c r="L936" s="4"/>
      <c r="M936" s="4"/>
      <c r="N936" s="4"/>
    </row>
    <row r="937" spans="11:14">
      <c r="K937" s="118"/>
      <c r="L937" s="4"/>
      <c r="M937" s="4"/>
      <c r="N937" s="4"/>
    </row>
    <row r="938" spans="11:14">
      <c r="K938" s="118"/>
      <c r="L938" s="4"/>
      <c r="M938" s="4"/>
      <c r="N938" s="4"/>
    </row>
    <row r="939" spans="11:14">
      <c r="K939" s="118"/>
      <c r="L939" s="4"/>
      <c r="M939" s="4"/>
      <c r="N939" s="4"/>
    </row>
    <row r="940" spans="11:14">
      <c r="K940" s="118"/>
      <c r="L940" s="4"/>
      <c r="M940" s="4"/>
      <c r="N940" s="4"/>
    </row>
    <row r="941" spans="11:14">
      <c r="K941" s="118"/>
      <c r="L941" s="4"/>
      <c r="M941" s="4"/>
      <c r="N941" s="4"/>
    </row>
    <row r="942" spans="11:14">
      <c r="K942" s="118"/>
      <c r="L942" s="4"/>
      <c r="M942" s="4"/>
      <c r="N942" s="4"/>
    </row>
    <row r="943" spans="11:14">
      <c r="K943" s="118"/>
      <c r="L943" s="4"/>
      <c r="M943" s="4"/>
      <c r="N943" s="4"/>
    </row>
    <row r="944" spans="11:14">
      <c r="K944" s="118"/>
      <c r="L944" s="4"/>
      <c r="M944" s="4"/>
      <c r="N944" s="4"/>
    </row>
    <row r="945" spans="11:14">
      <c r="K945" s="118"/>
      <c r="L945" s="4"/>
      <c r="M945" s="4"/>
      <c r="N945" s="4"/>
    </row>
    <row r="946" spans="11:14">
      <c r="K946" s="118"/>
      <c r="L946" s="4"/>
      <c r="M946" s="4"/>
      <c r="N946" s="4"/>
    </row>
    <row r="947" spans="11:14">
      <c r="K947" s="118"/>
      <c r="L947" s="4"/>
      <c r="M947" s="4"/>
      <c r="N947" s="4"/>
    </row>
    <row r="948" spans="11:14">
      <c r="K948" s="118"/>
      <c r="L948" s="4"/>
      <c r="M948" s="4"/>
      <c r="N948" s="4"/>
    </row>
    <row r="949" spans="11:14">
      <c r="K949" s="118"/>
      <c r="L949" s="4"/>
      <c r="M949" s="4"/>
      <c r="N949" s="4"/>
    </row>
    <row r="950" spans="11:14">
      <c r="K950" s="118"/>
      <c r="L950" s="4"/>
      <c r="M950" s="4"/>
      <c r="N950" s="4"/>
    </row>
    <row r="951" spans="11:14">
      <c r="K951" s="118"/>
      <c r="L951" s="4"/>
      <c r="M951" s="4"/>
      <c r="N951" s="4"/>
    </row>
    <row r="952" spans="11:14">
      <c r="K952" s="118"/>
      <c r="L952" s="4"/>
      <c r="M952" s="4"/>
      <c r="N952" s="4"/>
    </row>
    <row r="953" spans="11:14">
      <c r="K953" s="118"/>
      <c r="L953" s="4"/>
      <c r="M953" s="4"/>
      <c r="N953" s="4"/>
    </row>
    <row r="954" spans="11:14">
      <c r="K954" s="118"/>
      <c r="L954" s="4"/>
      <c r="M954" s="4"/>
      <c r="N954" s="4"/>
    </row>
    <row r="955" spans="11:14">
      <c r="K955" s="118"/>
      <c r="L955" s="4"/>
      <c r="M955" s="4"/>
      <c r="N955" s="4"/>
    </row>
    <row r="956" spans="11:14">
      <c r="K956" s="118"/>
      <c r="L956" s="4"/>
      <c r="M956" s="4"/>
      <c r="N956" s="4"/>
    </row>
    <row r="957" spans="11:14">
      <c r="K957" s="118"/>
      <c r="L957" s="4"/>
      <c r="M957" s="4"/>
      <c r="N957" s="4"/>
    </row>
    <row r="958" spans="11:14">
      <c r="K958" s="118"/>
      <c r="L958" s="4"/>
      <c r="M958" s="4"/>
      <c r="N958" s="4"/>
    </row>
    <row r="959" spans="11:14">
      <c r="K959" s="118"/>
      <c r="L959" s="4"/>
      <c r="M959" s="4"/>
      <c r="N959" s="4"/>
    </row>
    <row r="960" spans="11:14">
      <c r="K960" s="118"/>
      <c r="L960" s="4"/>
      <c r="M960" s="4"/>
      <c r="N960" s="4"/>
    </row>
    <row r="961" spans="11:14">
      <c r="K961" s="118"/>
      <c r="L961" s="4"/>
      <c r="M961" s="4"/>
      <c r="N961" s="4"/>
    </row>
    <row r="962" spans="11:14">
      <c r="K962" s="118"/>
      <c r="L962" s="4"/>
      <c r="M962" s="4"/>
      <c r="N962" s="4"/>
    </row>
    <row r="963" spans="11:14">
      <c r="K963" s="118"/>
      <c r="L963" s="4"/>
      <c r="M963" s="4"/>
      <c r="N963" s="4"/>
    </row>
    <row r="964" spans="11:14">
      <c r="K964" s="118"/>
      <c r="L964" s="4"/>
      <c r="M964" s="4"/>
      <c r="N964" s="4"/>
    </row>
    <row r="965" spans="11:14">
      <c r="K965" s="118"/>
      <c r="L965" s="4"/>
      <c r="M965" s="4"/>
      <c r="N965" s="4"/>
    </row>
    <row r="966" spans="11:14">
      <c r="K966" s="118"/>
      <c r="L966" s="4"/>
      <c r="M966" s="4"/>
      <c r="N966" s="4"/>
    </row>
    <row r="967" spans="11:14">
      <c r="K967" s="118"/>
      <c r="L967" s="4"/>
      <c r="M967" s="4"/>
      <c r="N967" s="4"/>
    </row>
    <row r="968" spans="11:14">
      <c r="K968" s="118"/>
      <c r="L968" s="4"/>
      <c r="M968" s="4"/>
      <c r="N968" s="4"/>
    </row>
    <row r="969" spans="11:14">
      <c r="K969" s="118"/>
      <c r="L969" s="4"/>
      <c r="M969" s="4"/>
      <c r="N969" s="4"/>
    </row>
    <row r="970" spans="11:14">
      <c r="K970" s="118"/>
      <c r="L970" s="4"/>
      <c r="M970" s="4"/>
      <c r="N970" s="4"/>
    </row>
    <row r="971" spans="11:14">
      <c r="K971" s="118"/>
      <c r="L971" s="4"/>
      <c r="M971" s="4"/>
      <c r="N971" s="4"/>
    </row>
    <row r="972" spans="11:14">
      <c r="K972" s="118"/>
      <c r="L972" s="4"/>
      <c r="M972" s="4"/>
      <c r="N972" s="4"/>
    </row>
    <row r="973" spans="11:14">
      <c r="K973" s="118"/>
      <c r="L973" s="4"/>
      <c r="M973" s="4"/>
      <c r="N973" s="4"/>
    </row>
    <row r="974" spans="11:14">
      <c r="K974" s="118"/>
      <c r="L974" s="4"/>
      <c r="M974" s="4"/>
      <c r="N974" s="4"/>
    </row>
    <row r="975" spans="11:14">
      <c r="K975" s="118"/>
      <c r="L975" s="4"/>
      <c r="M975" s="4"/>
      <c r="N975" s="4"/>
    </row>
    <row r="976" spans="11:14">
      <c r="K976" s="118"/>
      <c r="L976" s="4"/>
      <c r="M976" s="4"/>
      <c r="N976" s="4"/>
    </row>
    <row r="977" spans="11:14">
      <c r="K977" s="118"/>
      <c r="L977" s="4"/>
      <c r="M977" s="4"/>
      <c r="N977" s="4"/>
    </row>
    <row r="978" spans="11:14">
      <c r="K978" s="118"/>
      <c r="L978" s="4"/>
      <c r="M978" s="4"/>
      <c r="N978" s="4"/>
    </row>
    <row r="979" spans="11:14">
      <c r="K979" s="118"/>
      <c r="L979" s="4"/>
      <c r="M979" s="4"/>
      <c r="N979" s="4"/>
    </row>
    <row r="980" spans="11:14">
      <c r="K980" s="118"/>
      <c r="L980" s="4"/>
      <c r="M980" s="4"/>
      <c r="N980" s="4"/>
    </row>
    <row r="981" spans="11:14">
      <c r="K981" s="118"/>
      <c r="L981" s="4"/>
      <c r="M981" s="4"/>
      <c r="N981" s="4"/>
    </row>
    <row r="982" spans="11:14">
      <c r="K982" s="118"/>
      <c r="L982" s="4"/>
      <c r="M982" s="4"/>
      <c r="N982" s="4"/>
    </row>
    <row r="983" spans="11:14">
      <c r="K983" s="118"/>
      <c r="L983" s="4"/>
      <c r="M983" s="4"/>
      <c r="N983" s="4"/>
    </row>
    <row r="984" spans="11:14">
      <c r="K984" s="118"/>
      <c r="L984" s="4"/>
      <c r="M984" s="4"/>
      <c r="N984" s="4"/>
    </row>
    <row r="985" spans="11:14">
      <c r="K985" s="118"/>
      <c r="L985" s="4"/>
      <c r="M985" s="4"/>
      <c r="N985" s="4"/>
    </row>
    <row r="986" spans="11:14">
      <c r="K986" s="118"/>
      <c r="L986" s="4"/>
      <c r="M986" s="4"/>
      <c r="N986" s="4"/>
    </row>
    <row r="987" spans="11:14">
      <c r="K987" s="118"/>
      <c r="L987" s="4"/>
      <c r="M987" s="4"/>
      <c r="N987" s="4"/>
    </row>
    <row r="988" spans="11:14">
      <c r="K988" s="118"/>
      <c r="L988" s="4"/>
      <c r="M988" s="4"/>
      <c r="N988" s="4"/>
    </row>
    <row r="989" spans="11:14">
      <c r="K989" s="118"/>
      <c r="L989" s="4"/>
      <c r="M989" s="4"/>
      <c r="N989" s="4"/>
    </row>
    <row r="990" spans="11:14">
      <c r="K990" s="118"/>
      <c r="L990" s="4"/>
      <c r="M990" s="4"/>
      <c r="N990" s="4"/>
    </row>
    <row r="991" spans="11:14">
      <c r="K991" s="118"/>
      <c r="L991" s="4"/>
      <c r="M991" s="4"/>
      <c r="N991" s="4"/>
    </row>
    <row r="992" spans="11:14">
      <c r="K992" s="118"/>
      <c r="L992" s="4"/>
      <c r="M992" s="4"/>
      <c r="N992" s="4"/>
    </row>
    <row r="993" spans="11:14">
      <c r="K993" s="118"/>
      <c r="L993" s="4"/>
      <c r="M993" s="4"/>
      <c r="N993" s="4"/>
    </row>
    <row r="994" spans="11:14">
      <c r="K994" s="118"/>
      <c r="L994" s="4"/>
      <c r="M994" s="4"/>
      <c r="N994" s="4"/>
    </row>
    <row r="995" spans="11:14">
      <c r="K995" s="118"/>
      <c r="L995" s="4"/>
      <c r="M995" s="4"/>
      <c r="N995" s="4"/>
    </row>
    <row r="996" spans="11:14">
      <c r="K996" s="118"/>
      <c r="L996" s="4"/>
      <c r="M996" s="4"/>
      <c r="N996" s="4"/>
    </row>
    <row r="997" spans="11:14">
      <c r="K997" s="118"/>
      <c r="L997" s="4"/>
      <c r="M997" s="4"/>
      <c r="N997" s="4"/>
    </row>
    <row r="998" spans="11:14">
      <c r="K998" s="118"/>
      <c r="L998" s="4"/>
      <c r="M998" s="4"/>
      <c r="N998" s="4"/>
    </row>
    <row r="999" spans="11:14">
      <c r="K999" s="118"/>
      <c r="L999" s="4"/>
      <c r="M999" s="4"/>
      <c r="N999" s="4"/>
    </row>
    <row r="1000" spans="11:14">
      <c r="K1000" s="118"/>
      <c r="L1000" s="4"/>
      <c r="M1000" s="4"/>
      <c r="N1000" s="4"/>
    </row>
    <row r="1001" spans="11:14">
      <c r="K1001" s="118"/>
      <c r="L1001" s="4"/>
      <c r="M1001" s="4"/>
      <c r="N1001" s="4"/>
    </row>
    <row r="1002" spans="11:14">
      <c r="K1002" s="118"/>
      <c r="L1002" s="4"/>
      <c r="M1002" s="4"/>
      <c r="N1002" s="4"/>
    </row>
    <row r="1003" spans="11:14">
      <c r="K1003" s="118"/>
      <c r="L1003" s="4"/>
      <c r="M1003" s="4"/>
      <c r="N1003" s="4"/>
    </row>
    <row r="1004" spans="11:14">
      <c r="K1004" s="118"/>
      <c r="L1004" s="4"/>
      <c r="M1004" s="4"/>
      <c r="N1004" s="4"/>
    </row>
    <row r="1005" spans="11:14">
      <c r="K1005" s="118"/>
      <c r="L1005" s="4"/>
      <c r="M1005" s="4"/>
      <c r="N1005" s="4"/>
    </row>
    <row r="1006" spans="11:14">
      <c r="K1006" s="118"/>
      <c r="L1006" s="4"/>
      <c r="M1006" s="4"/>
      <c r="N1006" s="4"/>
    </row>
    <row r="1007" spans="11:14">
      <c r="K1007" s="118"/>
      <c r="L1007" s="4"/>
      <c r="M1007" s="4"/>
      <c r="N1007" s="4"/>
    </row>
    <row r="1008" spans="11:14">
      <c r="K1008" s="118"/>
      <c r="L1008" s="4"/>
      <c r="M1008" s="4"/>
      <c r="N1008" s="4"/>
    </row>
    <row r="1009" spans="11:14">
      <c r="K1009" s="118"/>
      <c r="L1009" s="4"/>
      <c r="M1009" s="4"/>
      <c r="N1009" s="4"/>
    </row>
    <row r="1010" spans="11:14">
      <c r="K1010" s="118"/>
      <c r="L1010" s="4"/>
      <c r="M1010" s="4"/>
      <c r="N1010" s="4"/>
    </row>
    <row r="1011" spans="11:14">
      <c r="K1011" s="118"/>
      <c r="L1011" s="4"/>
      <c r="M1011" s="4"/>
      <c r="N1011" s="4"/>
    </row>
    <row r="1012" spans="11:14">
      <c r="K1012" s="118"/>
      <c r="L1012" s="4"/>
      <c r="M1012" s="4"/>
      <c r="N1012" s="4"/>
    </row>
    <row r="1013" spans="11:14">
      <c r="K1013" s="118"/>
      <c r="L1013" s="4"/>
      <c r="M1013" s="4"/>
      <c r="N1013" s="4"/>
    </row>
    <row r="1014" spans="11:14">
      <c r="K1014" s="118"/>
      <c r="L1014" s="4"/>
      <c r="M1014" s="4"/>
      <c r="N1014" s="4"/>
    </row>
    <row r="1015" spans="11:14">
      <c r="K1015" s="118"/>
      <c r="L1015" s="4"/>
      <c r="M1015" s="4"/>
      <c r="N1015" s="4"/>
    </row>
    <row r="1016" spans="11:14">
      <c r="K1016" s="118"/>
      <c r="L1016" s="4"/>
      <c r="M1016" s="4"/>
      <c r="N1016" s="4"/>
    </row>
    <row r="1017" spans="11:14">
      <c r="K1017" s="118"/>
      <c r="L1017" s="4"/>
      <c r="M1017" s="4"/>
      <c r="N1017" s="4"/>
    </row>
    <row r="1018" spans="11:14">
      <c r="K1018" s="118"/>
      <c r="L1018" s="4"/>
      <c r="M1018" s="4"/>
      <c r="N1018" s="4"/>
    </row>
    <row r="1019" spans="11:14">
      <c r="K1019" s="118"/>
      <c r="L1019" s="4"/>
      <c r="M1019" s="4"/>
      <c r="N1019" s="4"/>
    </row>
    <row r="1020" spans="11:14">
      <c r="K1020" s="118"/>
      <c r="L1020" s="4"/>
      <c r="M1020" s="4"/>
      <c r="N1020" s="4"/>
    </row>
    <row r="1021" spans="11:14">
      <c r="K1021" s="118"/>
      <c r="L1021" s="4"/>
      <c r="M1021" s="4"/>
      <c r="N1021" s="4"/>
    </row>
    <row r="1022" spans="11:14">
      <c r="K1022" s="118"/>
      <c r="L1022" s="4"/>
      <c r="M1022" s="4"/>
      <c r="N1022" s="4"/>
    </row>
    <row r="1023" spans="11:14">
      <c r="K1023" s="118"/>
      <c r="L1023" s="4"/>
      <c r="M1023" s="4"/>
      <c r="N1023" s="4"/>
    </row>
    <row r="1024" spans="11:14">
      <c r="K1024" s="118"/>
      <c r="L1024" s="4"/>
      <c r="M1024" s="4"/>
      <c r="N1024" s="4"/>
    </row>
    <row r="1025" spans="11:14">
      <c r="K1025" s="118"/>
      <c r="L1025" s="4"/>
      <c r="M1025" s="4"/>
      <c r="N1025" s="4"/>
    </row>
    <row r="1026" spans="11:14">
      <c r="K1026" s="118"/>
      <c r="L1026" s="4"/>
      <c r="M1026" s="4"/>
      <c r="N1026" s="4"/>
    </row>
    <row r="1027" spans="11:14">
      <c r="K1027" s="118"/>
      <c r="L1027" s="4"/>
      <c r="M1027" s="4"/>
      <c r="N1027" s="4"/>
    </row>
    <row r="1028" spans="11:14">
      <c r="K1028" s="118"/>
      <c r="L1028" s="4"/>
      <c r="M1028" s="4"/>
      <c r="N1028" s="4"/>
    </row>
    <row r="1029" spans="11:14">
      <c r="K1029" s="118"/>
      <c r="L1029" s="4"/>
      <c r="M1029" s="4"/>
      <c r="N1029" s="4"/>
    </row>
    <row r="1030" spans="11:14">
      <c r="K1030" s="118"/>
      <c r="L1030" s="4"/>
      <c r="M1030" s="4"/>
      <c r="N1030" s="4"/>
    </row>
    <row r="1031" spans="11:14">
      <c r="K1031" s="118"/>
      <c r="L1031" s="4"/>
      <c r="M1031" s="4"/>
      <c r="N1031" s="4"/>
    </row>
    <row r="1032" spans="11:14">
      <c r="K1032" s="118"/>
      <c r="L1032" s="4"/>
      <c r="M1032" s="4"/>
      <c r="N1032" s="4"/>
    </row>
    <row r="1033" spans="11:14">
      <c r="K1033" s="118"/>
      <c r="L1033" s="4"/>
      <c r="M1033" s="4"/>
      <c r="N1033" s="4"/>
    </row>
    <row r="1034" spans="11:14">
      <c r="K1034" s="118"/>
      <c r="L1034" s="4"/>
      <c r="M1034" s="4"/>
      <c r="N1034" s="4"/>
    </row>
    <row r="1035" spans="11:14">
      <c r="K1035" s="118"/>
      <c r="L1035" s="4"/>
      <c r="M1035" s="4"/>
      <c r="N1035" s="4"/>
    </row>
    <row r="1036" spans="11:14">
      <c r="K1036" s="118"/>
      <c r="L1036" s="4"/>
      <c r="M1036" s="4"/>
      <c r="N1036" s="4"/>
    </row>
    <row r="1037" spans="11:14">
      <c r="K1037" s="118"/>
      <c r="L1037" s="4"/>
      <c r="M1037" s="4"/>
      <c r="N1037" s="4"/>
    </row>
    <row r="1038" spans="11:14">
      <c r="K1038" s="118"/>
      <c r="L1038" s="4"/>
      <c r="M1038" s="4"/>
      <c r="N1038" s="4"/>
    </row>
    <row r="1039" spans="11:14">
      <c r="K1039" s="118"/>
      <c r="L1039" s="4"/>
      <c r="M1039" s="4"/>
      <c r="N1039" s="4"/>
    </row>
    <row r="1040" spans="11:14">
      <c r="K1040" s="118"/>
      <c r="L1040" s="4"/>
      <c r="M1040" s="4"/>
      <c r="N1040" s="4"/>
    </row>
    <row r="1041" spans="11:14">
      <c r="K1041" s="118"/>
      <c r="L1041" s="4"/>
      <c r="M1041" s="4"/>
      <c r="N1041" s="4"/>
    </row>
    <row r="1042" spans="11:14">
      <c r="K1042" s="118"/>
      <c r="L1042" s="4"/>
      <c r="M1042" s="4"/>
      <c r="N1042" s="4"/>
    </row>
    <row r="1043" spans="11:14">
      <c r="K1043" s="118"/>
      <c r="L1043" s="4"/>
      <c r="M1043" s="4"/>
      <c r="N1043" s="4"/>
    </row>
    <row r="1044" spans="11:14">
      <c r="K1044" s="118"/>
      <c r="L1044" s="4"/>
      <c r="M1044" s="4"/>
      <c r="N1044" s="4"/>
    </row>
    <row r="1045" spans="11:14">
      <c r="K1045" s="118"/>
      <c r="L1045" s="4"/>
      <c r="M1045" s="4"/>
      <c r="N1045" s="4"/>
    </row>
    <row r="1046" spans="11:14">
      <c r="K1046" s="118"/>
      <c r="L1046" s="4"/>
      <c r="M1046" s="4"/>
      <c r="N1046" s="4"/>
    </row>
    <row r="1047" spans="11:14">
      <c r="K1047" s="118"/>
      <c r="L1047" s="4"/>
      <c r="M1047" s="4"/>
      <c r="N1047" s="4"/>
    </row>
    <row r="1048" spans="11:14">
      <c r="K1048" s="118"/>
      <c r="L1048" s="4"/>
      <c r="M1048" s="4"/>
      <c r="N1048" s="4"/>
    </row>
    <row r="1049" spans="11:14">
      <c r="K1049" s="118"/>
      <c r="L1049" s="4"/>
      <c r="M1049" s="4"/>
      <c r="N1049" s="4"/>
    </row>
    <row r="1050" spans="11:14">
      <c r="K1050" s="118"/>
      <c r="L1050" s="4"/>
      <c r="M1050" s="4"/>
      <c r="N1050" s="4"/>
    </row>
    <row r="1051" spans="11:14">
      <c r="K1051" s="118"/>
      <c r="L1051" s="4"/>
      <c r="M1051" s="4"/>
      <c r="N1051" s="4"/>
    </row>
    <row r="1052" spans="11:14">
      <c r="K1052" s="118"/>
      <c r="L1052" s="4"/>
      <c r="M1052" s="4"/>
      <c r="N1052" s="4"/>
    </row>
    <row r="1053" spans="11:14">
      <c r="K1053" s="118"/>
      <c r="L1053" s="4"/>
      <c r="M1053" s="4"/>
      <c r="N1053" s="4"/>
    </row>
    <row r="1054" spans="11:14">
      <c r="K1054" s="118"/>
      <c r="L1054" s="4"/>
      <c r="M1054" s="4"/>
      <c r="N1054" s="4"/>
    </row>
    <row r="1055" spans="11:14">
      <c r="K1055" s="118"/>
      <c r="L1055" s="4"/>
      <c r="M1055" s="4"/>
      <c r="N1055" s="4"/>
    </row>
    <row r="1056" spans="11:14">
      <c r="K1056" s="118"/>
      <c r="L1056" s="4"/>
      <c r="M1056" s="4"/>
      <c r="N1056" s="4"/>
    </row>
    <row r="1057" spans="11:14">
      <c r="K1057" s="118"/>
      <c r="L1057" s="4"/>
      <c r="M1057" s="4"/>
      <c r="N1057" s="4"/>
    </row>
    <row r="1058" spans="11:14">
      <c r="K1058" s="118"/>
      <c r="L1058" s="4"/>
      <c r="M1058" s="4"/>
      <c r="N1058" s="4"/>
    </row>
    <row r="1059" spans="11:14">
      <c r="K1059" s="118"/>
      <c r="L1059" s="4"/>
      <c r="M1059" s="4"/>
      <c r="N1059" s="4"/>
    </row>
    <row r="1060" spans="11:14">
      <c r="K1060" s="118"/>
      <c r="L1060" s="4"/>
      <c r="M1060" s="4"/>
      <c r="N1060" s="4"/>
    </row>
    <row r="1061" spans="11:14">
      <c r="K1061" s="118"/>
      <c r="L1061" s="4"/>
      <c r="M1061" s="4"/>
      <c r="N1061" s="4"/>
    </row>
    <row r="1062" spans="11:14">
      <c r="K1062" s="118"/>
      <c r="L1062" s="4"/>
      <c r="M1062" s="4"/>
      <c r="N1062" s="4"/>
    </row>
    <row r="1063" spans="11:14">
      <c r="K1063" s="118"/>
      <c r="L1063" s="4"/>
      <c r="M1063" s="4"/>
      <c r="N1063" s="4"/>
    </row>
    <row r="1064" spans="11:14">
      <c r="K1064" s="118"/>
      <c r="L1064" s="4"/>
      <c r="M1064" s="4"/>
      <c r="N1064" s="4"/>
    </row>
    <row r="1065" spans="11:14">
      <c r="K1065" s="118"/>
      <c r="L1065" s="4"/>
      <c r="M1065" s="4"/>
      <c r="N1065" s="4"/>
    </row>
    <row r="1066" spans="11:14">
      <c r="K1066" s="118"/>
      <c r="L1066" s="4"/>
      <c r="M1066" s="4"/>
      <c r="N1066" s="4"/>
    </row>
    <row r="1067" spans="11:14">
      <c r="K1067" s="118"/>
      <c r="L1067" s="4"/>
      <c r="M1067" s="4"/>
      <c r="N1067" s="4"/>
    </row>
    <row r="1068" spans="11:14">
      <c r="K1068" s="118"/>
      <c r="L1068" s="4"/>
      <c r="M1068" s="4"/>
      <c r="N1068" s="4"/>
    </row>
    <row r="1069" spans="11:14">
      <c r="K1069" s="118"/>
      <c r="L1069" s="4"/>
      <c r="M1069" s="4"/>
      <c r="N1069" s="4"/>
    </row>
    <row r="1070" spans="11:14">
      <c r="K1070" s="118"/>
      <c r="L1070" s="4"/>
      <c r="M1070" s="4"/>
      <c r="N1070" s="4"/>
    </row>
    <row r="1071" spans="11:14">
      <c r="K1071" s="118"/>
      <c r="L1071" s="4"/>
      <c r="M1071" s="4"/>
      <c r="N1071" s="4"/>
    </row>
    <row r="1072" spans="11:14">
      <c r="K1072" s="118"/>
      <c r="L1072" s="4"/>
      <c r="M1072" s="4"/>
      <c r="N1072" s="4"/>
    </row>
    <row r="1073" spans="11:14">
      <c r="K1073" s="118"/>
      <c r="L1073" s="4"/>
      <c r="M1073" s="4"/>
      <c r="N1073" s="4"/>
    </row>
    <row r="1074" spans="11:14">
      <c r="K1074" s="118"/>
      <c r="L1074" s="4"/>
      <c r="M1074" s="4"/>
      <c r="N1074" s="4"/>
    </row>
    <row r="1075" spans="11:14">
      <c r="K1075" s="118"/>
      <c r="L1075" s="4"/>
      <c r="M1075" s="4"/>
      <c r="N1075" s="4"/>
    </row>
    <row r="1076" spans="11:14">
      <c r="K1076" s="118"/>
      <c r="L1076" s="4"/>
      <c r="M1076" s="4"/>
      <c r="N1076" s="4"/>
    </row>
    <row r="1077" spans="11:14">
      <c r="K1077" s="118"/>
      <c r="L1077" s="4"/>
      <c r="M1077" s="4"/>
      <c r="N1077" s="4"/>
    </row>
    <row r="1078" spans="11:14">
      <c r="K1078" s="118"/>
      <c r="L1078" s="4"/>
      <c r="M1078" s="4"/>
      <c r="N1078" s="4"/>
    </row>
    <row r="1079" spans="11:14">
      <c r="K1079" s="118"/>
      <c r="L1079" s="4"/>
      <c r="M1079" s="4"/>
      <c r="N1079" s="4"/>
    </row>
    <row r="1080" spans="11:14">
      <c r="K1080" s="118"/>
      <c r="L1080" s="4"/>
      <c r="M1080" s="4"/>
      <c r="N1080" s="4"/>
    </row>
    <row r="1081" spans="11:14">
      <c r="K1081" s="118"/>
      <c r="L1081" s="4"/>
      <c r="M1081" s="4"/>
      <c r="N1081" s="4"/>
    </row>
    <row r="1082" spans="11:14">
      <c r="K1082" s="118"/>
      <c r="L1082" s="4"/>
      <c r="M1082" s="4"/>
      <c r="N1082" s="4"/>
    </row>
    <row r="1083" spans="11:14">
      <c r="K1083" s="118"/>
      <c r="L1083" s="4"/>
      <c r="M1083" s="4"/>
      <c r="N1083" s="4"/>
    </row>
    <row r="1084" spans="11:14">
      <c r="K1084" s="118"/>
      <c r="L1084" s="4"/>
      <c r="M1084" s="4"/>
      <c r="N1084" s="4"/>
    </row>
    <row r="1085" spans="11:14">
      <c r="K1085" s="118"/>
      <c r="L1085" s="4"/>
      <c r="M1085" s="4"/>
      <c r="N1085" s="4"/>
    </row>
    <row r="1086" spans="11:14">
      <c r="K1086" s="118"/>
      <c r="L1086" s="4"/>
      <c r="M1086" s="4"/>
      <c r="N1086" s="4"/>
    </row>
    <row r="1087" spans="11:14">
      <c r="K1087" s="118"/>
      <c r="L1087" s="4"/>
      <c r="M1087" s="4"/>
      <c r="N1087" s="4"/>
    </row>
    <row r="1088" spans="11:14">
      <c r="K1088" s="118"/>
      <c r="L1088" s="4"/>
      <c r="M1088" s="4"/>
      <c r="N1088" s="4"/>
    </row>
    <row r="1089" spans="11:14">
      <c r="K1089" s="118"/>
      <c r="L1089" s="4"/>
      <c r="M1089" s="4"/>
      <c r="N1089" s="4"/>
    </row>
    <row r="1090" spans="11:14">
      <c r="K1090" s="118"/>
      <c r="L1090" s="4"/>
      <c r="M1090" s="4"/>
      <c r="N1090" s="4"/>
    </row>
    <row r="1091" spans="11:14">
      <c r="K1091" s="118"/>
      <c r="L1091" s="4"/>
      <c r="M1091" s="4"/>
      <c r="N1091" s="4"/>
    </row>
    <row r="1092" spans="11:14">
      <c r="K1092" s="118"/>
      <c r="L1092" s="4"/>
      <c r="M1092" s="4"/>
      <c r="N1092" s="4"/>
    </row>
    <row r="1093" spans="11:14">
      <c r="K1093" s="118"/>
      <c r="L1093" s="4"/>
      <c r="M1093" s="4"/>
      <c r="N1093" s="4"/>
    </row>
    <row r="1094" spans="11:14">
      <c r="K1094" s="118"/>
      <c r="L1094" s="4"/>
      <c r="M1094" s="4"/>
      <c r="N1094" s="4"/>
    </row>
    <row r="1095" spans="11:14">
      <c r="K1095" s="118"/>
      <c r="L1095" s="4"/>
      <c r="M1095" s="4"/>
      <c r="N1095" s="4"/>
    </row>
    <row r="1096" spans="11:14">
      <c r="K1096" s="118"/>
      <c r="L1096" s="4"/>
      <c r="M1096" s="4"/>
      <c r="N1096" s="4"/>
    </row>
    <row r="1097" spans="11:14">
      <c r="K1097" s="118"/>
      <c r="L1097" s="4"/>
      <c r="M1097" s="4"/>
      <c r="N1097" s="4"/>
    </row>
    <row r="1098" spans="11:14">
      <c r="K1098" s="118"/>
      <c r="L1098" s="4"/>
      <c r="M1098" s="4"/>
      <c r="N1098" s="4"/>
    </row>
    <row r="1099" spans="11:14">
      <c r="K1099" s="118"/>
      <c r="L1099" s="4"/>
      <c r="M1099" s="4"/>
      <c r="N1099" s="4"/>
    </row>
    <row r="1100" spans="11:14">
      <c r="K1100" s="118"/>
      <c r="L1100" s="4"/>
      <c r="M1100" s="4"/>
      <c r="N1100" s="4"/>
    </row>
    <row r="1101" spans="11:14">
      <c r="K1101" s="118"/>
      <c r="L1101" s="4"/>
      <c r="M1101" s="4"/>
      <c r="N1101" s="4"/>
    </row>
    <row r="1102" spans="11:14">
      <c r="K1102" s="118"/>
      <c r="L1102" s="4"/>
      <c r="M1102" s="4"/>
      <c r="N1102" s="4"/>
    </row>
    <row r="1103" spans="11:14">
      <c r="K1103" s="118"/>
      <c r="L1103" s="4"/>
      <c r="M1103" s="4"/>
      <c r="N1103" s="4"/>
    </row>
    <row r="1104" spans="11:14">
      <c r="K1104" s="118"/>
      <c r="L1104" s="4"/>
      <c r="M1104" s="4"/>
      <c r="N1104" s="4"/>
    </row>
    <row r="1105" spans="11:14">
      <c r="K1105" s="118"/>
      <c r="L1105" s="4"/>
      <c r="M1105" s="4"/>
      <c r="N1105" s="4"/>
    </row>
    <row r="1106" spans="11:14">
      <c r="K1106" s="118"/>
      <c r="L1106" s="4"/>
      <c r="M1106" s="4"/>
      <c r="N1106" s="4"/>
    </row>
    <row r="1107" spans="11:14">
      <c r="K1107" s="118"/>
      <c r="L1107" s="4"/>
      <c r="M1107" s="4"/>
      <c r="N1107" s="4"/>
    </row>
    <row r="1108" spans="11:14">
      <c r="K1108" s="118"/>
      <c r="L1108" s="4"/>
      <c r="M1108" s="4"/>
      <c r="N1108" s="4"/>
    </row>
    <row r="1109" spans="11:14">
      <c r="K1109" s="118"/>
      <c r="L1109" s="4"/>
      <c r="M1109" s="4"/>
      <c r="N1109" s="4"/>
    </row>
    <row r="1110" spans="11:14">
      <c r="K1110" s="118"/>
      <c r="L1110" s="4"/>
      <c r="M1110" s="4"/>
      <c r="N1110" s="4"/>
    </row>
    <row r="1111" spans="11:14">
      <c r="K1111" s="118"/>
      <c r="L1111" s="4"/>
      <c r="M1111" s="4"/>
      <c r="N1111" s="4"/>
    </row>
    <row r="1112" spans="11:14">
      <c r="K1112" s="118"/>
      <c r="L1112" s="4"/>
      <c r="M1112" s="4"/>
      <c r="N1112" s="4"/>
    </row>
    <row r="1113" spans="11:14">
      <c r="K1113" s="118"/>
      <c r="L1113" s="4"/>
      <c r="M1113" s="4"/>
      <c r="N1113" s="4"/>
    </row>
    <row r="1114" spans="11:14">
      <c r="K1114" s="118"/>
      <c r="L1114" s="4"/>
      <c r="M1114" s="4"/>
      <c r="N1114" s="4"/>
    </row>
    <row r="1115" spans="11:14">
      <c r="K1115" s="118"/>
      <c r="L1115" s="4"/>
      <c r="M1115" s="4"/>
      <c r="N1115" s="4"/>
    </row>
    <row r="1116" spans="11:14">
      <c r="K1116" s="118"/>
      <c r="L1116" s="4"/>
      <c r="M1116" s="4"/>
      <c r="N1116" s="4"/>
    </row>
    <row r="1117" spans="11:14">
      <c r="K1117" s="118"/>
      <c r="L1117" s="4"/>
      <c r="M1117" s="4"/>
      <c r="N1117" s="4"/>
    </row>
    <row r="1118" spans="11:14">
      <c r="K1118" s="118"/>
      <c r="L1118" s="4"/>
      <c r="M1118" s="4"/>
      <c r="N1118" s="4"/>
    </row>
    <row r="1119" spans="11:14">
      <c r="K1119" s="118"/>
      <c r="L1119" s="4"/>
      <c r="M1119" s="4"/>
      <c r="N1119" s="4"/>
    </row>
    <row r="1120" spans="11:14">
      <c r="K1120" s="118"/>
      <c r="L1120" s="4"/>
      <c r="M1120" s="4"/>
      <c r="N1120" s="4"/>
    </row>
    <row r="1121" spans="11:14">
      <c r="K1121" s="118"/>
      <c r="L1121" s="4"/>
      <c r="M1121" s="4"/>
      <c r="N1121" s="4"/>
    </row>
    <row r="1122" spans="11:14">
      <c r="K1122" s="118"/>
      <c r="L1122" s="4"/>
      <c r="M1122" s="4"/>
      <c r="N1122" s="4"/>
    </row>
    <row r="1123" spans="11:14">
      <c r="K1123" s="118"/>
      <c r="L1123" s="4"/>
      <c r="M1123" s="4"/>
      <c r="N1123" s="4"/>
    </row>
    <row r="1124" spans="11:14">
      <c r="K1124" s="118"/>
      <c r="L1124" s="4"/>
      <c r="M1124" s="4"/>
      <c r="N1124" s="4"/>
    </row>
    <row r="1125" spans="11:14">
      <c r="K1125" s="118"/>
      <c r="L1125" s="4"/>
      <c r="M1125" s="4"/>
      <c r="N1125" s="4"/>
    </row>
    <row r="1126" spans="11:14">
      <c r="K1126" s="118"/>
      <c r="L1126" s="4"/>
      <c r="M1126" s="4"/>
      <c r="N1126" s="4"/>
    </row>
    <row r="1127" spans="11:14">
      <c r="K1127" s="118"/>
      <c r="L1127" s="4"/>
      <c r="M1127" s="4"/>
      <c r="N1127" s="4"/>
    </row>
    <row r="1128" spans="11:14">
      <c r="K1128" s="118"/>
      <c r="L1128" s="4"/>
      <c r="M1128" s="4"/>
      <c r="N1128" s="4"/>
    </row>
    <row r="1129" spans="11:14">
      <c r="K1129" s="118"/>
      <c r="L1129" s="4"/>
      <c r="M1129" s="4"/>
      <c r="N1129" s="4"/>
    </row>
    <row r="1130" spans="11:14">
      <c r="K1130" s="118"/>
      <c r="L1130" s="4"/>
      <c r="M1130" s="4"/>
      <c r="N1130" s="4"/>
    </row>
    <row r="1131" spans="11:14">
      <c r="K1131" s="118"/>
      <c r="L1131" s="4"/>
      <c r="M1131" s="4"/>
      <c r="N1131" s="4"/>
    </row>
    <row r="1132" spans="11:14">
      <c r="K1132" s="118"/>
      <c r="L1132" s="4"/>
      <c r="M1132" s="4"/>
      <c r="N1132" s="4"/>
    </row>
    <row r="1133" spans="11:14">
      <c r="K1133" s="118"/>
      <c r="L1133" s="4"/>
      <c r="M1133" s="4"/>
      <c r="N1133" s="4"/>
    </row>
    <row r="1134" spans="11:14">
      <c r="K1134" s="118"/>
      <c r="L1134" s="4"/>
      <c r="M1134" s="4"/>
      <c r="N1134" s="4"/>
    </row>
    <row r="1135" spans="11:14">
      <c r="K1135" s="118"/>
      <c r="L1135" s="4"/>
      <c r="M1135" s="4"/>
      <c r="N1135" s="4"/>
    </row>
    <row r="1136" spans="11:14">
      <c r="K1136" s="118"/>
      <c r="L1136" s="4"/>
      <c r="M1136" s="4"/>
      <c r="N1136" s="4"/>
    </row>
    <row r="1137" spans="11:14">
      <c r="K1137" s="118"/>
      <c r="L1137" s="4"/>
      <c r="M1137" s="4"/>
      <c r="N1137" s="4"/>
    </row>
    <row r="1138" spans="11:14">
      <c r="K1138" s="118"/>
      <c r="L1138" s="4"/>
      <c r="M1138" s="4"/>
      <c r="N1138" s="4"/>
    </row>
    <row r="1139" spans="11:14">
      <c r="K1139" s="118"/>
      <c r="L1139" s="4"/>
      <c r="M1139" s="4"/>
      <c r="N1139" s="4"/>
    </row>
    <row r="1140" spans="11:14">
      <c r="K1140" s="118"/>
      <c r="L1140" s="4"/>
      <c r="M1140" s="4"/>
      <c r="N1140" s="4"/>
    </row>
    <row r="1141" spans="11:14">
      <c r="K1141" s="118"/>
      <c r="L1141" s="4"/>
      <c r="M1141" s="4"/>
      <c r="N1141" s="4"/>
    </row>
    <row r="1142" spans="11:14">
      <c r="K1142" s="118"/>
      <c r="L1142" s="4"/>
      <c r="M1142" s="4"/>
      <c r="N1142" s="4"/>
    </row>
    <row r="1143" spans="11:14">
      <c r="K1143" s="118"/>
      <c r="L1143" s="4"/>
      <c r="M1143" s="4"/>
      <c r="N1143" s="4"/>
    </row>
    <row r="1144" spans="11:14">
      <c r="K1144" s="118"/>
      <c r="L1144" s="4"/>
      <c r="M1144" s="4"/>
      <c r="N1144" s="4"/>
    </row>
    <row r="1145" spans="11:14">
      <c r="K1145" s="118"/>
      <c r="L1145" s="4"/>
      <c r="M1145" s="4"/>
      <c r="N1145" s="4"/>
    </row>
    <row r="1146" spans="11:14">
      <c r="K1146" s="118"/>
      <c r="L1146" s="4"/>
      <c r="M1146" s="4"/>
      <c r="N1146" s="4"/>
    </row>
    <row r="1147" spans="11:14">
      <c r="K1147" s="118"/>
      <c r="L1147" s="4"/>
      <c r="M1147" s="4"/>
      <c r="N1147" s="4"/>
    </row>
    <row r="1148" spans="11:14">
      <c r="K1148" s="118"/>
      <c r="L1148" s="4"/>
      <c r="M1148" s="4"/>
      <c r="N1148" s="4"/>
    </row>
    <row r="1149" spans="11:14">
      <c r="K1149" s="118"/>
      <c r="L1149" s="4"/>
      <c r="M1149" s="4"/>
      <c r="N1149" s="4"/>
    </row>
    <row r="1150" spans="11:14">
      <c r="K1150" s="118"/>
      <c r="L1150" s="4"/>
      <c r="M1150" s="4"/>
      <c r="N1150" s="4"/>
    </row>
    <row r="1151" spans="11:14">
      <c r="K1151" s="118"/>
      <c r="L1151" s="4"/>
      <c r="M1151" s="4"/>
      <c r="N1151" s="4"/>
    </row>
    <row r="1152" spans="11:14">
      <c r="K1152" s="118"/>
      <c r="L1152" s="4"/>
      <c r="M1152" s="4"/>
      <c r="N1152" s="4"/>
    </row>
    <row r="1153" spans="11:14">
      <c r="K1153" s="118"/>
      <c r="L1153" s="4"/>
      <c r="M1153" s="4"/>
      <c r="N1153" s="4"/>
    </row>
    <row r="1154" spans="11:14">
      <c r="K1154" s="118"/>
      <c r="L1154" s="4"/>
      <c r="M1154" s="4"/>
      <c r="N1154" s="4"/>
    </row>
    <row r="1155" spans="11:14">
      <c r="K1155" s="118"/>
      <c r="L1155" s="4"/>
      <c r="M1155" s="4"/>
      <c r="N1155" s="4"/>
    </row>
    <row r="1156" spans="11:14">
      <c r="K1156" s="118"/>
      <c r="L1156" s="4"/>
      <c r="M1156" s="4"/>
      <c r="N1156" s="4"/>
    </row>
    <row r="1157" spans="11:14">
      <c r="K1157" s="118"/>
      <c r="L1157" s="4"/>
      <c r="M1157" s="4"/>
      <c r="N1157" s="4"/>
    </row>
    <row r="1158" spans="11:14">
      <c r="K1158" s="118"/>
      <c r="L1158" s="4"/>
      <c r="M1158" s="4"/>
      <c r="N1158" s="4"/>
    </row>
    <row r="1159" spans="11:14">
      <c r="K1159" s="118"/>
      <c r="L1159" s="4"/>
      <c r="M1159" s="4"/>
      <c r="N1159" s="4"/>
    </row>
    <row r="1160" spans="11:14">
      <c r="K1160" s="118"/>
      <c r="L1160" s="4"/>
      <c r="M1160" s="4"/>
      <c r="N1160" s="4"/>
    </row>
    <row r="1161" spans="11:14">
      <c r="K1161" s="118"/>
      <c r="L1161" s="4"/>
      <c r="M1161" s="4"/>
      <c r="N1161" s="4"/>
    </row>
    <row r="1162" spans="11:14">
      <c r="K1162" s="118"/>
      <c r="L1162" s="4"/>
      <c r="M1162" s="4"/>
      <c r="N1162" s="4"/>
    </row>
    <row r="1163" spans="11:14">
      <c r="K1163" s="118"/>
      <c r="L1163" s="4"/>
      <c r="M1163" s="4"/>
      <c r="N1163" s="4"/>
    </row>
    <row r="1164" spans="11:14">
      <c r="K1164" s="118"/>
      <c r="L1164" s="4"/>
      <c r="M1164" s="4"/>
      <c r="N1164" s="4"/>
    </row>
    <row r="1165" spans="11:14">
      <c r="K1165" s="118"/>
      <c r="L1165" s="4"/>
      <c r="M1165" s="4"/>
      <c r="N1165" s="4"/>
    </row>
    <row r="1166" spans="11:14">
      <c r="K1166" s="118"/>
      <c r="L1166" s="4"/>
      <c r="M1166" s="4"/>
      <c r="N1166" s="4"/>
    </row>
    <row r="1167" spans="11:14">
      <c r="K1167" s="118"/>
      <c r="L1167" s="4"/>
      <c r="M1167" s="4"/>
      <c r="N1167" s="4"/>
    </row>
    <row r="1168" spans="11:14">
      <c r="K1168" s="118"/>
      <c r="L1168" s="4"/>
      <c r="M1168" s="4"/>
      <c r="N1168" s="4"/>
    </row>
    <row r="1169" spans="11:14">
      <c r="K1169" s="118"/>
      <c r="L1169" s="4"/>
      <c r="M1169" s="4"/>
      <c r="N1169" s="4"/>
    </row>
    <row r="1170" spans="11:14">
      <c r="K1170" s="118"/>
      <c r="L1170" s="4"/>
      <c r="M1170" s="4"/>
      <c r="N1170" s="4"/>
    </row>
    <row r="1171" spans="11:14">
      <c r="K1171" s="118"/>
      <c r="L1171" s="4"/>
      <c r="M1171" s="4"/>
      <c r="N1171" s="4"/>
    </row>
    <row r="1172" spans="11:14">
      <c r="K1172" s="118"/>
      <c r="L1172" s="4"/>
      <c r="M1172" s="4"/>
      <c r="N1172" s="4"/>
    </row>
    <row r="1173" spans="11:14">
      <c r="K1173" s="118"/>
      <c r="L1173" s="4"/>
      <c r="M1173" s="4"/>
      <c r="N1173" s="4"/>
    </row>
    <row r="1174" spans="11:14">
      <c r="K1174" s="118"/>
      <c r="L1174" s="4"/>
      <c r="M1174" s="4"/>
      <c r="N1174" s="4"/>
    </row>
    <row r="1175" spans="11:14">
      <c r="K1175" s="118"/>
      <c r="L1175" s="4"/>
      <c r="M1175" s="4"/>
      <c r="N1175" s="4"/>
    </row>
    <row r="1176" spans="11:14">
      <c r="K1176" s="118"/>
      <c r="L1176" s="4"/>
      <c r="M1176" s="4"/>
      <c r="N1176" s="4"/>
    </row>
    <row r="1177" spans="11:14">
      <c r="K1177" s="118"/>
      <c r="L1177" s="4"/>
      <c r="M1177" s="4"/>
      <c r="N1177" s="4"/>
    </row>
    <row r="1178" spans="11:14">
      <c r="K1178" s="118"/>
      <c r="L1178" s="4"/>
      <c r="M1178" s="4"/>
      <c r="N1178" s="4"/>
    </row>
    <row r="1179" spans="11:14">
      <c r="K1179" s="118"/>
      <c r="L1179" s="4"/>
      <c r="M1179" s="4"/>
      <c r="N1179" s="4"/>
    </row>
    <row r="1180" spans="11:14">
      <c r="K1180" s="118"/>
      <c r="L1180" s="4"/>
      <c r="M1180" s="4"/>
      <c r="N1180" s="4"/>
    </row>
    <row r="1181" spans="11:14">
      <c r="K1181" s="118"/>
      <c r="L1181" s="4"/>
      <c r="M1181" s="4"/>
      <c r="N1181" s="4"/>
    </row>
    <row r="1182" spans="11:14">
      <c r="K1182" s="118"/>
      <c r="L1182" s="4"/>
      <c r="M1182" s="4"/>
      <c r="N1182" s="4"/>
    </row>
    <row r="1183" spans="11:14">
      <c r="K1183" s="118"/>
      <c r="L1183" s="4"/>
      <c r="M1183" s="4"/>
      <c r="N1183" s="4"/>
    </row>
    <row r="1184" spans="11:14">
      <c r="K1184" s="118"/>
      <c r="L1184" s="4"/>
      <c r="M1184" s="4"/>
      <c r="N1184" s="4"/>
    </row>
    <row r="1185" spans="11:14">
      <c r="K1185" s="118"/>
      <c r="L1185" s="4"/>
      <c r="M1185" s="4"/>
      <c r="N1185" s="4"/>
    </row>
    <row r="1186" spans="11:14">
      <c r="K1186" s="118"/>
      <c r="L1186" s="4"/>
      <c r="M1186" s="4"/>
      <c r="N1186" s="4"/>
    </row>
    <row r="1187" spans="11:14">
      <c r="K1187" s="118"/>
      <c r="L1187" s="4"/>
      <c r="M1187" s="4"/>
      <c r="N1187" s="4"/>
    </row>
    <row r="1188" spans="11:14">
      <c r="K1188" s="118"/>
      <c r="L1188" s="4"/>
      <c r="M1188" s="4"/>
      <c r="N1188" s="4"/>
    </row>
    <row r="1189" spans="11:14">
      <c r="K1189" s="118"/>
      <c r="L1189" s="4"/>
      <c r="M1189" s="4"/>
      <c r="N1189" s="4"/>
    </row>
    <row r="1190" spans="11:14">
      <c r="K1190" s="118"/>
      <c r="L1190" s="4"/>
      <c r="M1190" s="4"/>
      <c r="N1190" s="4"/>
    </row>
    <row r="1191" spans="11:14">
      <c r="K1191" s="118"/>
      <c r="L1191" s="4"/>
      <c r="M1191" s="4"/>
      <c r="N1191" s="4"/>
    </row>
    <row r="1192" spans="11:14">
      <c r="K1192" s="118"/>
      <c r="L1192" s="4"/>
      <c r="M1192" s="4"/>
      <c r="N1192" s="4"/>
    </row>
    <row r="1193" spans="11:14">
      <c r="K1193" s="118"/>
      <c r="L1193" s="4"/>
      <c r="M1193" s="4"/>
      <c r="N1193" s="4"/>
    </row>
    <row r="1194" spans="11:14">
      <c r="K1194" s="118"/>
      <c r="L1194" s="4"/>
      <c r="M1194" s="4"/>
      <c r="N1194" s="4"/>
    </row>
    <row r="1195" spans="11:14">
      <c r="K1195" s="118"/>
      <c r="L1195" s="4"/>
      <c r="M1195" s="4"/>
      <c r="N1195" s="4"/>
    </row>
    <row r="1196" spans="11:14">
      <c r="K1196" s="118"/>
      <c r="L1196" s="4"/>
      <c r="M1196" s="4"/>
      <c r="N1196" s="4"/>
    </row>
    <row r="1197" spans="11:14">
      <c r="K1197" s="118"/>
      <c r="L1197" s="4"/>
      <c r="M1197" s="4"/>
      <c r="N1197" s="4"/>
    </row>
    <row r="1198" spans="11:14">
      <c r="K1198" s="118"/>
      <c r="L1198" s="4"/>
      <c r="M1198" s="4"/>
      <c r="N1198" s="4"/>
    </row>
    <row r="1199" spans="11:14">
      <c r="K1199" s="118"/>
      <c r="L1199" s="4"/>
      <c r="M1199" s="4"/>
      <c r="N1199" s="4"/>
    </row>
    <row r="1200" spans="11:14">
      <c r="K1200" s="118"/>
      <c r="L1200" s="4"/>
      <c r="M1200" s="4"/>
      <c r="N1200" s="4"/>
    </row>
    <row r="1201" spans="11:14">
      <c r="K1201" s="118"/>
      <c r="L1201" s="4"/>
      <c r="M1201" s="4"/>
      <c r="N1201" s="4"/>
    </row>
    <row r="1202" spans="11:14">
      <c r="K1202" s="118"/>
      <c r="L1202" s="4"/>
      <c r="M1202" s="4"/>
      <c r="N1202" s="4"/>
    </row>
    <row r="1203" spans="11:14">
      <c r="K1203" s="118"/>
      <c r="L1203" s="4"/>
      <c r="M1203" s="4"/>
      <c r="N1203" s="4"/>
    </row>
    <row r="1204" spans="11:14">
      <c r="K1204" s="118"/>
      <c r="L1204" s="4"/>
      <c r="M1204" s="4"/>
      <c r="N1204" s="4"/>
    </row>
    <row r="1205" spans="11:14">
      <c r="K1205" s="118"/>
      <c r="L1205" s="4"/>
      <c r="M1205" s="4"/>
      <c r="N1205" s="4"/>
    </row>
    <row r="1206" spans="11:14">
      <c r="K1206" s="118"/>
      <c r="L1206" s="4"/>
      <c r="M1206" s="4"/>
      <c r="N1206" s="4"/>
    </row>
    <row r="1207" spans="11:14">
      <c r="K1207" s="118"/>
      <c r="L1207" s="4"/>
      <c r="M1207" s="4"/>
      <c r="N1207" s="4"/>
    </row>
    <row r="1208" spans="11:14">
      <c r="K1208" s="118"/>
      <c r="L1208" s="4"/>
      <c r="M1208" s="4"/>
      <c r="N1208" s="4"/>
    </row>
    <row r="1209" spans="11:14">
      <c r="K1209" s="118"/>
      <c r="L1209" s="4"/>
      <c r="M1209" s="4"/>
      <c r="N1209" s="4"/>
    </row>
    <row r="1210" spans="11:14">
      <c r="K1210" s="118"/>
      <c r="L1210" s="4"/>
      <c r="M1210" s="4"/>
      <c r="N1210" s="4"/>
    </row>
    <row r="1211" spans="11:14">
      <c r="K1211" s="118"/>
      <c r="L1211" s="4"/>
      <c r="M1211" s="4"/>
      <c r="N1211" s="4"/>
    </row>
    <row r="1212" spans="11:14">
      <c r="K1212" s="118"/>
      <c r="L1212" s="4"/>
      <c r="M1212" s="4"/>
      <c r="N1212" s="4"/>
    </row>
    <row r="1213" spans="11:14">
      <c r="K1213" s="118"/>
      <c r="L1213" s="4"/>
      <c r="M1213" s="4"/>
      <c r="N1213" s="4"/>
    </row>
    <row r="1214" spans="11:14">
      <c r="K1214" s="118"/>
      <c r="L1214" s="4"/>
      <c r="M1214" s="4"/>
      <c r="N1214" s="4"/>
    </row>
    <row r="1215" spans="11:14">
      <c r="K1215" s="118"/>
      <c r="L1215" s="4"/>
      <c r="M1215" s="4"/>
      <c r="N1215" s="4"/>
    </row>
    <row r="1216" spans="11:14">
      <c r="K1216" s="118"/>
      <c r="L1216" s="4"/>
      <c r="M1216" s="4"/>
      <c r="N1216" s="4"/>
    </row>
    <row r="1217" spans="11:14">
      <c r="K1217" s="118"/>
      <c r="L1217" s="4"/>
      <c r="M1217" s="4"/>
      <c r="N1217" s="4"/>
    </row>
    <row r="1218" spans="11:14">
      <c r="K1218" s="118"/>
      <c r="L1218" s="4"/>
      <c r="M1218" s="4"/>
      <c r="N1218" s="4"/>
    </row>
    <row r="1219" spans="11:14">
      <c r="K1219" s="118"/>
      <c r="L1219" s="4"/>
      <c r="M1219" s="4"/>
      <c r="N1219" s="4"/>
    </row>
    <row r="1220" spans="11:14">
      <c r="K1220" s="118"/>
      <c r="L1220" s="4"/>
      <c r="M1220" s="4"/>
      <c r="N1220" s="4"/>
    </row>
    <row r="1221" spans="11:14">
      <c r="K1221" s="118"/>
      <c r="L1221" s="4"/>
      <c r="M1221" s="4"/>
      <c r="N1221" s="4"/>
    </row>
    <row r="1222" spans="11:14">
      <c r="K1222" s="118"/>
      <c r="L1222" s="4"/>
      <c r="M1222" s="4"/>
      <c r="N1222" s="4"/>
    </row>
    <row r="1223" spans="11:14">
      <c r="K1223" s="118"/>
      <c r="L1223" s="4"/>
      <c r="M1223" s="4"/>
      <c r="N1223" s="4"/>
    </row>
    <row r="1224" spans="11:14">
      <c r="K1224" s="118"/>
      <c r="L1224" s="4"/>
      <c r="M1224" s="4"/>
      <c r="N1224" s="4"/>
    </row>
    <row r="1225" spans="11:14">
      <c r="K1225" s="118"/>
      <c r="L1225" s="4"/>
      <c r="M1225" s="4"/>
      <c r="N1225" s="4"/>
    </row>
    <row r="1226" spans="11:14">
      <c r="K1226" s="118"/>
      <c r="L1226" s="4"/>
      <c r="M1226" s="4"/>
      <c r="N1226" s="4"/>
    </row>
    <row r="1227" spans="11:14">
      <c r="K1227" s="118"/>
      <c r="L1227" s="4"/>
      <c r="M1227" s="4"/>
      <c r="N1227" s="4"/>
    </row>
    <row r="1228" spans="11:14">
      <c r="K1228" s="118"/>
      <c r="L1228" s="4"/>
      <c r="M1228" s="4"/>
      <c r="N1228" s="4"/>
    </row>
    <row r="1229" spans="11:14">
      <c r="K1229" s="118"/>
      <c r="L1229" s="4"/>
      <c r="M1229" s="4"/>
      <c r="N1229" s="4"/>
    </row>
    <row r="1230" spans="11:14">
      <c r="K1230" s="118"/>
      <c r="L1230" s="4"/>
      <c r="M1230" s="4"/>
      <c r="N1230" s="4"/>
    </row>
    <row r="1231" spans="11:14">
      <c r="K1231" s="118"/>
      <c r="L1231" s="4"/>
      <c r="M1231" s="4"/>
      <c r="N1231" s="4"/>
    </row>
    <row r="1232" spans="11:14">
      <c r="K1232" s="118"/>
      <c r="L1232" s="4"/>
      <c r="M1232" s="4"/>
      <c r="N1232" s="4"/>
    </row>
    <row r="1233" spans="11:14">
      <c r="K1233" s="118"/>
      <c r="L1233" s="4"/>
      <c r="M1233" s="4"/>
      <c r="N1233" s="4"/>
    </row>
    <row r="1234" spans="11:14">
      <c r="K1234" s="118"/>
      <c r="L1234" s="4"/>
      <c r="M1234" s="4"/>
      <c r="N1234" s="4"/>
    </row>
    <row r="1235" spans="11:14">
      <c r="K1235" s="118"/>
      <c r="L1235" s="4"/>
      <c r="M1235" s="4"/>
      <c r="N1235" s="4"/>
    </row>
    <row r="1236" spans="11:14">
      <c r="K1236" s="118"/>
      <c r="L1236" s="4"/>
      <c r="M1236" s="4"/>
      <c r="N1236" s="4"/>
    </row>
    <row r="1237" spans="11:14">
      <c r="K1237" s="118"/>
      <c r="L1237" s="4"/>
      <c r="M1237" s="4"/>
      <c r="N1237" s="4"/>
    </row>
    <row r="1238" spans="11:14">
      <c r="K1238" s="118"/>
      <c r="L1238" s="4"/>
      <c r="M1238" s="4"/>
      <c r="N1238" s="4"/>
    </row>
    <row r="1239" spans="11:14">
      <c r="K1239" s="118"/>
      <c r="L1239" s="4"/>
      <c r="M1239" s="4"/>
      <c r="N1239" s="4"/>
    </row>
    <row r="1240" spans="11:14">
      <c r="K1240" s="118"/>
      <c r="L1240" s="4"/>
      <c r="M1240" s="4"/>
      <c r="N1240" s="4"/>
    </row>
    <row r="1241" spans="11:14">
      <c r="K1241" s="118"/>
      <c r="L1241" s="4"/>
      <c r="M1241" s="4"/>
      <c r="N1241" s="4"/>
    </row>
    <row r="1242" spans="11:14">
      <c r="K1242" s="118"/>
      <c r="L1242" s="4"/>
      <c r="M1242" s="4"/>
      <c r="N1242" s="4"/>
    </row>
    <row r="1243" spans="11:14">
      <c r="K1243" s="118"/>
      <c r="L1243" s="4"/>
      <c r="M1243" s="4"/>
      <c r="N1243" s="4"/>
    </row>
    <row r="1244" spans="11:14">
      <c r="K1244" s="118"/>
      <c r="L1244" s="4"/>
      <c r="M1244" s="4"/>
      <c r="N1244" s="4"/>
    </row>
    <row r="1245" spans="11:14">
      <c r="K1245" s="118"/>
      <c r="L1245" s="4"/>
      <c r="M1245" s="4"/>
      <c r="N1245" s="4"/>
    </row>
    <row r="1246" spans="11:14">
      <c r="K1246" s="118"/>
      <c r="L1246" s="4"/>
      <c r="M1246" s="4"/>
      <c r="N1246" s="4"/>
    </row>
    <row r="1247" spans="11:14">
      <c r="K1247" s="118"/>
      <c r="L1247" s="4"/>
      <c r="M1247" s="4"/>
      <c r="N1247" s="4"/>
    </row>
    <row r="1248" spans="11:14">
      <c r="K1248" s="118"/>
      <c r="L1248" s="4"/>
      <c r="M1248" s="4"/>
      <c r="N1248" s="4"/>
    </row>
    <row r="1249" spans="11:14">
      <c r="K1249" s="118"/>
      <c r="L1249" s="4"/>
      <c r="M1249" s="4"/>
      <c r="N1249" s="4"/>
    </row>
    <row r="1250" spans="11:14">
      <c r="K1250" s="118"/>
      <c r="L1250" s="4"/>
      <c r="M1250" s="4"/>
      <c r="N1250" s="4"/>
    </row>
    <row r="1251" spans="11:14">
      <c r="K1251" s="118"/>
      <c r="L1251" s="4"/>
      <c r="M1251" s="4"/>
      <c r="N1251" s="4"/>
    </row>
    <row r="1252" spans="11:14">
      <c r="K1252" s="118"/>
      <c r="L1252" s="4"/>
      <c r="M1252" s="4"/>
      <c r="N1252" s="4"/>
    </row>
    <row r="1253" spans="11:14">
      <c r="K1253" s="118"/>
      <c r="L1253" s="4"/>
      <c r="M1253" s="4"/>
      <c r="N1253" s="4"/>
    </row>
    <row r="1254" spans="11:14">
      <c r="K1254" s="118"/>
      <c r="L1254" s="4"/>
      <c r="M1254" s="4"/>
      <c r="N1254" s="4"/>
    </row>
    <row r="1255" spans="11:14">
      <c r="K1255" s="118"/>
      <c r="L1255" s="4"/>
      <c r="M1255" s="4"/>
      <c r="N1255" s="4"/>
    </row>
    <row r="1256" spans="11:14">
      <c r="K1256" s="118"/>
      <c r="L1256" s="4"/>
      <c r="M1256" s="4"/>
      <c r="N1256" s="4"/>
    </row>
    <row r="1257" spans="11:14">
      <c r="K1257" s="118"/>
      <c r="L1257" s="4"/>
      <c r="M1257" s="4"/>
      <c r="N1257" s="4"/>
    </row>
    <row r="1258" spans="11:14">
      <c r="K1258" s="118"/>
      <c r="L1258" s="4"/>
      <c r="M1258" s="4"/>
      <c r="N1258" s="4"/>
    </row>
    <row r="1259" spans="11:14">
      <c r="K1259" s="118"/>
      <c r="L1259" s="4"/>
      <c r="M1259" s="4"/>
      <c r="N1259" s="4"/>
    </row>
    <row r="1260" spans="11:14">
      <c r="K1260" s="118"/>
      <c r="L1260" s="4"/>
      <c r="M1260" s="4"/>
      <c r="N1260" s="4"/>
    </row>
    <row r="1261" spans="11:14">
      <c r="K1261" s="118"/>
      <c r="L1261" s="4"/>
      <c r="M1261" s="4"/>
      <c r="N1261" s="4"/>
    </row>
    <row r="1262" spans="11:14">
      <c r="K1262" s="118"/>
      <c r="L1262" s="4"/>
      <c r="M1262" s="4"/>
      <c r="N1262" s="4"/>
    </row>
    <row r="1263" spans="11:14">
      <c r="K1263" s="118"/>
      <c r="L1263" s="4"/>
      <c r="M1263" s="4"/>
      <c r="N1263" s="4"/>
    </row>
    <row r="1264" spans="11:14">
      <c r="K1264" s="118"/>
      <c r="L1264" s="4"/>
      <c r="M1264" s="4"/>
      <c r="N1264" s="4"/>
    </row>
    <row r="1265" spans="11:14">
      <c r="K1265" s="118"/>
      <c r="L1265" s="4"/>
      <c r="M1265" s="4"/>
      <c r="N1265" s="4"/>
    </row>
    <row r="1266" spans="11:14">
      <c r="K1266" s="118"/>
      <c r="L1266" s="4"/>
      <c r="M1266" s="4"/>
      <c r="N1266" s="4"/>
    </row>
    <row r="1267" spans="11:14">
      <c r="K1267" s="118"/>
      <c r="L1267" s="4"/>
      <c r="M1267" s="4"/>
      <c r="N1267" s="4"/>
    </row>
    <row r="1268" spans="11:14">
      <c r="K1268" s="118"/>
      <c r="L1268" s="4"/>
      <c r="M1268" s="4"/>
      <c r="N1268" s="4"/>
    </row>
    <row r="1269" spans="11:14">
      <c r="K1269" s="118"/>
      <c r="L1269" s="4"/>
      <c r="M1269" s="4"/>
      <c r="N1269" s="4"/>
    </row>
    <row r="1270" spans="11:14">
      <c r="K1270" s="118"/>
      <c r="L1270" s="4"/>
      <c r="M1270" s="4"/>
      <c r="N1270" s="4"/>
    </row>
    <row r="1271" spans="11:14">
      <c r="K1271" s="118"/>
      <c r="L1271" s="4"/>
      <c r="M1271" s="4"/>
      <c r="N1271" s="4"/>
    </row>
    <row r="1272" spans="11:14">
      <c r="K1272" s="118"/>
      <c r="L1272" s="4"/>
      <c r="M1272" s="4"/>
      <c r="N1272" s="4"/>
    </row>
    <row r="1273" spans="11:14">
      <c r="K1273" s="118"/>
      <c r="L1273" s="4"/>
      <c r="M1273" s="4"/>
      <c r="N1273" s="4"/>
    </row>
    <row r="1274" spans="11:14">
      <c r="K1274" s="118"/>
      <c r="L1274" s="4"/>
      <c r="M1274" s="4"/>
      <c r="N1274" s="4"/>
    </row>
    <row r="1275" spans="11:14">
      <c r="K1275" s="118"/>
      <c r="L1275" s="4"/>
      <c r="M1275" s="4"/>
      <c r="N1275" s="4"/>
    </row>
    <row r="1276" spans="11:14">
      <c r="K1276" s="118"/>
      <c r="L1276" s="4"/>
      <c r="M1276" s="4"/>
      <c r="N1276" s="4"/>
    </row>
    <row r="1277" spans="11:14">
      <c r="K1277" s="118"/>
      <c r="L1277" s="4"/>
      <c r="M1277" s="4"/>
      <c r="N1277" s="4"/>
    </row>
    <row r="1278" spans="11:14">
      <c r="K1278" s="118"/>
      <c r="L1278" s="4"/>
      <c r="M1278" s="4"/>
      <c r="N1278" s="4"/>
    </row>
    <row r="1279" spans="11:14">
      <c r="K1279" s="118"/>
      <c r="L1279" s="4"/>
      <c r="M1279" s="4"/>
      <c r="N1279" s="4"/>
    </row>
    <row r="1280" spans="11:14">
      <c r="K1280" s="118"/>
      <c r="L1280" s="4"/>
      <c r="M1280" s="4"/>
      <c r="N1280" s="4"/>
    </row>
    <row r="1281" spans="11:14">
      <c r="K1281" s="118"/>
      <c r="L1281" s="4"/>
      <c r="M1281" s="4"/>
      <c r="N1281" s="4"/>
    </row>
    <row r="1282" spans="11:14">
      <c r="K1282" s="118"/>
      <c r="L1282" s="4"/>
      <c r="M1282" s="4"/>
      <c r="N1282" s="4"/>
    </row>
    <row r="1283" spans="11:14">
      <c r="K1283" s="118"/>
      <c r="L1283" s="4"/>
      <c r="M1283" s="4"/>
      <c r="N1283" s="4"/>
    </row>
    <row r="1284" spans="11:14">
      <c r="K1284" s="118"/>
      <c r="L1284" s="4"/>
      <c r="M1284" s="4"/>
      <c r="N1284" s="4"/>
    </row>
    <row r="1285" spans="11:14">
      <c r="K1285" s="118"/>
      <c r="L1285" s="4"/>
      <c r="M1285" s="4"/>
      <c r="N1285" s="4"/>
    </row>
    <row r="1286" spans="11:14">
      <c r="K1286" s="118"/>
      <c r="L1286" s="4"/>
      <c r="M1286" s="4"/>
      <c r="N1286" s="4"/>
    </row>
    <row r="1287" spans="11:14">
      <c r="K1287" s="118"/>
      <c r="L1287" s="4"/>
      <c r="M1287" s="4"/>
      <c r="N1287" s="4"/>
    </row>
    <row r="1288" spans="11:14">
      <c r="K1288" s="118"/>
      <c r="L1288" s="4"/>
      <c r="M1288" s="4"/>
      <c r="N1288" s="4"/>
    </row>
    <row r="1289" spans="11:14">
      <c r="K1289" s="118"/>
      <c r="L1289" s="4"/>
      <c r="M1289" s="4"/>
      <c r="N1289" s="4"/>
    </row>
    <row r="1290" spans="11:14">
      <c r="K1290" s="118"/>
      <c r="L1290" s="4"/>
      <c r="M1290" s="4"/>
      <c r="N1290" s="4"/>
    </row>
    <row r="1291" spans="11:14">
      <c r="K1291" s="118"/>
      <c r="L1291" s="4"/>
      <c r="M1291" s="4"/>
      <c r="N1291" s="4"/>
    </row>
    <row r="1292" spans="11:14">
      <c r="K1292" s="118"/>
      <c r="L1292" s="4"/>
      <c r="M1292" s="4"/>
      <c r="N1292" s="4"/>
    </row>
    <row r="1293" spans="11:14">
      <c r="K1293" s="118"/>
      <c r="L1293" s="4"/>
      <c r="M1293" s="4"/>
      <c r="N1293" s="4"/>
    </row>
    <row r="1294" spans="11:14">
      <c r="K1294" s="118"/>
      <c r="L1294" s="4"/>
      <c r="M1294" s="4"/>
      <c r="N1294" s="4"/>
    </row>
    <row r="1295" spans="11:14">
      <c r="K1295" s="118"/>
      <c r="L1295" s="4"/>
      <c r="M1295" s="4"/>
      <c r="N1295" s="4"/>
    </row>
    <row r="1296" spans="11:14">
      <c r="K1296" s="118"/>
      <c r="L1296" s="4"/>
      <c r="M1296" s="4"/>
      <c r="N1296" s="4"/>
    </row>
    <row r="1297" spans="11:14">
      <c r="K1297" s="118"/>
      <c r="L1297" s="4"/>
      <c r="M1297" s="4"/>
      <c r="N1297" s="4"/>
    </row>
    <row r="1298" spans="11:14">
      <c r="K1298" s="118"/>
      <c r="L1298" s="4"/>
      <c r="M1298" s="4"/>
      <c r="N1298" s="4"/>
    </row>
    <row r="1299" spans="11:14">
      <c r="K1299" s="118"/>
      <c r="L1299" s="4"/>
      <c r="M1299" s="4"/>
      <c r="N1299" s="4"/>
    </row>
    <row r="1300" spans="11:14">
      <c r="K1300" s="118"/>
      <c r="L1300" s="4"/>
      <c r="M1300" s="4"/>
      <c r="N1300" s="4"/>
    </row>
    <row r="1301" spans="11:14">
      <c r="K1301" s="118"/>
      <c r="L1301" s="4"/>
      <c r="M1301" s="4"/>
      <c r="N1301" s="4"/>
    </row>
    <row r="1302" spans="11:14">
      <c r="K1302" s="118"/>
      <c r="L1302" s="4"/>
      <c r="M1302" s="4"/>
      <c r="N1302" s="4"/>
    </row>
    <row r="1303" spans="11:14">
      <c r="K1303" s="118"/>
      <c r="L1303" s="4"/>
      <c r="M1303" s="4"/>
      <c r="N1303" s="4"/>
    </row>
    <row r="1304" spans="11:14">
      <c r="K1304" s="118"/>
      <c r="L1304" s="4"/>
      <c r="M1304" s="4"/>
      <c r="N1304" s="4"/>
    </row>
    <row r="1305" spans="11:14">
      <c r="K1305" s="118"/>
      <c r="L1305" s="4"/>
      <c r="M1305" s="4"/>
      <c r="N1305" s="4"/>
    </row>
    <row r="1306" spans="11:14">
      <c r="K1306" s="118"/>
      <c r="L1306" s="4"/>
      <c r="M1306" s="4"/>
      <c r="N1306" s="4"/>
    </row>
    <row r="1307" spans="11:14">
      <c r="K1307" s="118"/>
      <c r="L1307" s="4"/>
      <c r="M1307" s="4"/>
      <c r="N1307" s="4"/>
    </row>
    <row r="1308" spans="11:14">
      <c r="K1308" s="118"/>
      <c r="L1308" s="4"/>
      <c r="M1308" s="4"/>
      <c r="N1308" s="4"/>
    </row>
    <row r="1309" spans="11:14">
      <c r="K1309" s="118"/>
      <c r="L1309" s="4"/>
      <c r="M1309" s="4"/>
      <c r="N1309" s="4"/>
    </row>
    <row r="1310" spans="11:14">
      <c r="K1310" s="118"/>
      <c r="L1310" s="4"/>
      <c r="M1310" s="4"/>
      <c r="N1310" s="4"/>
    </row>
    <row r="1311" spans="11:14">
      <c r="K1311" s="118"/>
      <c r="L1311" s="4"/>
      <c r="M1311" s="4"/>
      <c r="N1311" s="4"/>
    </row>
    <row r="1312" spans="11:14">
      <c r="K1312" s="118"/>
      <c r="L1312" s="4"/>
      <c r="M1312" s="4"/>
      <c r="N1312" s="4"/>
    </row>
    <row r="1313" spans="11:14">
      <c r="K1313" s="118"/>
      <c r="L1313" s="4"/>
      <c r="M1313" s="4"/>
      <c r="N1313" s="4"/>
    </row>
    <row r="1314" spans="11:14">
      <c r="K1314" s="118"/>
      <c r="L1314" s="4"/>
      <c r="M1314" s="4"/>
      <c r="N1314" s="4"/>
    </row>
    <row r="1315" spans="11:14">
      <c r="K1315" s="118"/>
      <c r="L1315" s="4"/>
      <c r="M1315" s="4"/>
      <c r="N1315" s="4"/>
    </row>
    <row r="1316" spans="11:14">
      <c r="K1316" s="118"/>
      <c r="L1316" s="4"/>
      <c r="M1316" s="4"/>
      <c r="N1316" s="4"/>
    </row>
    <row r="1317" spans="11:14">
      <c r="K1317" s="118"/>
      <c r="L1317" s="4"/>
      <c r="M1317" s="4"/>
      <c r="N1317" s="4"/>
    </row>
    <row r="1318" spans="11:14">
      <c r="K1318" s="118"/>
      <c r="L1318" s="4"/>
      <c r="M1318" s="4"/>
      <c r="N1318" s="4"/>
    </row>
    <row r="1319" spans="11:14">
      <c r="K1319" s="118"/>
      <c r="L1319" s="4"/>
      <c r="M1319" s="4"/>
      <c r="N1319" s="4"/>
    </row>
    <row r="1320" spans="11:14">
      <c r="K1320" s="118"/>
      <c r="L1320" s="4"/>
      <c r="M1320" s="4"/>
      <c r="N1320" s="4"/>
    </row>
    <row r="1321" spans="11:14">
      <c r="K1321" s="118"/>
      <c r="L1321" s="4"/>
      <c r="M1321" s="4"/>
      <c r="N1321" s="4"/>
    </row>
    <row r="1322" spans="11:14">
      <c r="K1322" s="118"/>
      <c r="L1322" s="4"/>
      <c r="M1322" s="4"/>
      <c r="N1322" s="4"/>
    </row>
    <row r="1323" spans="11:14">
      <c r="K1323" s="118"/>
      <c r="L1323" s="4"/>
      <c r="M1323" s="4"/>
      <c r="N1323" s="4"/>
    </row>
    <row r="1324" spans="11:14">
      <c r="K1324" s="118"/>
      <c r="L1324" s="4"/>
      <c r="M1324" s="4"/>
      <c r="N1324" s="4"/>
    </row>
    <row r="1325" spans="11:14">
      <c r="K1325" s="118"/>
      <c r="L1325" s="4"/>
      <c r="M1325" s="4"/>
      <c r="N1325" s="4"/>
    </row>
    <row r="1326" spans="11:14">
      <c r="K1326" s="118"/>
      <c r="L1326" s="4"/>
      <c r="M1326" s="4"/>
      <c r="N1326" s="4"/>
    </row>
    <row r="1327" spans="11:14">
      <c r="K1327" s="118"/>
      <c r="L1327" s="4"/>
      <c r="M1327" s="4"/>
      <c r="N1327" s="4"/>
    </row>
    <row r="1328" spans="11:14">
      <c r="K1328" s="118"/>
      <c r="L1328" s="4"/>
      <c r="M1328" s="4"/>
      <c r="N1328" s="4"/>
    </row>
    <row r="1329" spans="11:14">
      <c r="K1329" s="118"/>
      <c r="L1329" s="4"/>
      <c r="M1329" s="4"/>
      <c r="N1329" s="4"/>
    </row>
    <row r="1330" spans="11:14">
      <c r="K1330" s="118"/>
      <c r="L1330" s="4"/>
      <c r="M1330" s="4"/>
      <c r="N1330" s="4"/>
    </row>
    <row r="1331" spans="11:14">
      <c r="K1331" s="118"/>
      <c r="L1331" s="4"/>
      <c r="M1331" s="4"/>
      <c r="N1331" s="4"/>
    </row>
    <row r="1332" spans="11:14">
      <c r="K1332" s="118"/>
      <c r="L1332" s="4"/>
      <c r="M1332" s="4"/>
      <c r="N1332" s="4"/>
    </row>
    <row r="1333" spans="11:14">
      <c r="K1333" s="118"/>
      <c r="L1333" s="4"/>
      <c r="M1333" s="4"/>
      <c r="N1333" s="4"/>
    </row>
    <row r="1334" spans="11:14">
      <c r="K1334" s="118"/>
      <c r="L1334" s="4"/>
      <c r="M1334" s="4"/>
      <c r="N1334" s="4"/>
    </row>
    <row r="1335" spans="11:14">
      <c r="K1335" s="118"/>
      <c r="L1335" s="4"/>
      <c r="M1335" s="4"/>
      <c r="N1335" s="4"/>
    </row>
    <row r="1336" spans="11:14">
      <c r="K1336" s="118"/>
      <c r="L1336" s="4"/>
      <c r="M1336" s="4"/>
      <c r="N1336" s="4"/>
    </row>
    <row r="1337" spans="11:14">
      <c r="K1337" s="118"/>
      <c r="L1337" s="4"/>
      <c r="M1337" s="4"/>
      <c r="N1337" s="4"/>
    </row>
    <row r="1338" spans="11:14">
      <c r="K1338" s="118"/>
      <c r="L1338" s="4"/>
      <c r="M1338" s="4"/>
      <c r="N1338" s="4"/>
    </row>
    <row r="1339" spans="11:14">
      <c r="K1339" s="118"/>
      <c r="L1339" s="4"/>
      <c r="M1339" s="4"/>
      <c r="N1339" s="4"/>
    </row>
    <row r="1340" spans="11:14">
      <c r="K1340" s="118"/>
      <c r="L1340" s="4"/>
      <c r="M1340" s="4"/>
      <c r="N1340" s="4"/>
    </row>
    <row r="1341" spans="11:14">
      <c r="K1341" s="118"/>
      <c r="L1341" s="4"/>
      <c r="M1341" s="4"/>
      <c r="N1341" s="4"/>
    </row>
    <row r="1342" spans="11:14">
      <c r="K1342" s="118"/>
      <c r="L1342" s="4"/>
      <c r="M1342" s="4"/>
      <c r="N1342" s="4"/>
    </row>
    <row r="1343" spans="11:14">
      <c r="K1343" s="118"/>
      <c r="L1343" s="4"/>
      <c r="M1343" s="4"/>
      <c r="N1343" s="4"/>
    </row>
    <row r="1344" spans="11:14">
      <c r="K1344" s="118"/>
      <c r="L1344" s="4"/>
      <c r="M1344" s="4"/>
      <c r="N1344" s="4"/>
    </row>
    <row r="1345" spans="11:14">
      <c r="K1345" s="118"/>
      <c r="L1345" s="4"/>
      <c r="M1345" s="4"/>
      <c r="N1345" s="4"/>
    </row>
    <row r="1346" spans="11:14">
      <c r="K1346" s="118"/>
      <c r="L1346" s="4"/>
      <c r="M1346" s="4"/>
      <c r="N1346" s="4"/>
    </row>
    <row r="1347" spans="11:14">
      <c r="K1347" s="118"/>
      <c r="L1347" s="4"/>
      <c r="M1347" s="4"/>
      <c r="N1347" s="4"/>
    </row>
    <row r="1348" spans="11:14">
      <c r="K1348" s="118"/>
      <c r="L1348" s="4"/>
      <c r="M1348" s="4"/>
      <c r="N1348" s="4"/>
    </row>
    <row r="1349" spans="11:14">
      <c r="K1349" s="118"/>
      <c r="L1349" s="4"/>
      <c r="M1349" s="4"/>
      <c r="N1349" s="4"/>
    </row>
    <row r="1350" spans="11:14">
      <c r="K1350" s="118"/>
      <c r="L1350" s="4"/>
      <c r="M1350" s="4"/>
      <c r="N1350" s="4"/>
    </row>
    <row r="1351" spans="11:14">
      <c r="K1351" s="118"/>
      <c r="L1351" s="4"/>
      <c r="M1351" s="4"/>
      <c r="N1351" s="4"/>
    </row>
    <row r="1352" spans="11:14">
      <c r="K1352" s="118"/>
      <c r="L1352" s="4"/>
      <c r="M1352" s="4"/>
      <c r="N1352" s="4"/>
    </row>
    <row r="1353" spans="11:14">
      <c r="K1353" s="118"/>
      <c r="L1353" s="4"/>
      <c r="M1353" s="4"/>
      <c r="N1353" s="4"/>
    </row>
    <row r="1354" spans="11:14">
      <c r="K1354" s="118"/>
      <c r="L1354" s="4"/>
      <c r="M1354" s="4"/>
      <c r="N1354" s="4"/>
    </row>
    <row r="1355" spans="11:14">
      <c r="K1355" s="118"/>
      <c r="L1355" s="4"/>
      <c r="M1355" s="4"/>
      <c r="N1355" s="4"/>
    </row>
    <row r="1356" spans="11:14">
      <c r="K1356" s="118"/>
      <c r="L1356" s="4"/>
      <c r="M1356" s="4"/>
      <c r="N1356" s="4"/>
    </row>
    <row r="1357" spans="11:14">
      <c r="K1357" s="118"/>
      <c r="L1357" s="4"/>
      <c r="M1357" s="4"/>
      <c r="N1357" s="4"/>
    </row>
    <row r="1358" spans="11:14">
      <c r="K1358" s="118"/>
      <c r="L1358" s="4"/>
      <c r="M1358" s="4"/>
      <c r="N1358" s="4"/>
    </row>
    <row r="1359" spans="11:14">
      <c r="K1359" s="118"/>
      <c r="L1359" s="4"/>
      <c r="M1359" s="4"/>
      <c r="N1359" s="4"/>
    </row>
    <row r="1360" spans="11:14">
      <c r="K1360" s="118"/>
      <c r="L1360" s="4"/>
      <c r="M1360" s="4"/>
      <c r="N1360" s="4"/>
    </row>
    <row r="1361" spans="11:14">
      <c r="K1361" s="118"/>
      <c r="L1361" s="4"/>
      <c r="M1361" s="4"/>
      <c r="N1361" s="4"/>
    </row>
    <row r="1362" spans="11:14">
      <c r="K1362" s="118"/>
      <c r="L1362" s="4"/>
      <c r="M1362" s="4"/>
      <c r="N1362" s="4"/>
    </row>
    <row r="1363" spans="11:14">
      <c r="K1363" s="118"/>
      <c r="L1363" s="4"/>
      <c r="M1363" s="4"/>
      <c r="N1363" s="4"/>
    </row>
    <row r="1364" spans="11:14">
      <c r="K1364" s="118"/>
      <c r="L1364" s="4"/>
      <c r="M1364" s="4"/>
      <c r="N1364" s="4"/>
    </row>
    <row r="1365" spans="11:14">
      <c r="K1365" s="118"/>
      <c r="L1365" s="4"/>
      <c r="M1365" s="4"/>
      <c r="N1365" s="4"/>
    </row>
    <row r="1366" spans="11:14">
      <c r="K1366" s="118"/>
      <c r="L1366" s="4"/>
      <c r="M1366" s="4"/>
      <c r="N1366" s="4"/>
    </row>
    <row r="1367" spans="11:14">
      <c r="K1367" s="118"/>
      <c r="L1367" s="4"/>
      <c r="M1367" s="4"/>
      <c r="N1367" s="4"/>
    </row>
    <row r="1368" spans="11:14">
      <c r="K1368" s="118"/>
      <c r="L1368" s="4"/>
      <c r="M1368" s="4"/>
      <c r="N1368" s="4"/>
    </row>
    <row r="1369" spans="11:14">
      <c r="K1369" s="118"/>
      <c r="L1369" s="4"/>
      <c r="M1369" s="4"/>
      <c r="N1369" s="4"/>
    </row>
    <row r="1370" spans="11:14">
      <c r="K1370" s="118"/>
      <c r="L1370" s="4"/>
      <c r="M1370" s="4"/>
      <c r="N1370" s="4"/>
    </row>
    <row r="1371" spans="11:14">
      <c r="K1371" s="118"/>
      <c r="L1371" s="4"/>
      <c r="M1371" s="4"/>
      <c r="N1371" s="4"/>
    </row>
    <row r="1372" spans="11:14">
      <c r="K1372" s="118"/>
      <c r="L1372" s="4"/>
      <c r="M1372" s="4"/>
      <c r="N1372" s="4"/>
    </row>
    <row r="1373" spans="11:14">
      <c r="K1373" s="118"/>
      <c r="L1373" s="4"/>
      <c r="M1373" s="4"/>
      <c r="N1373" s="4"/>
    </row>
    <row r="1374" spans="11:14">
      <c r="K1374" s="118"/>
      <c r="L1374" s="4"/>
      <c r="M1374" s="4"/>
      <c r="N1374" s="4"/>
    </row>
    <row r="1375" spans="11:14">
      <c r="K1375" s="118"/>
      <c r="L1375" s="4"/>
      <c r="M1375" s="4"/>
      <c r="N1375" s="4"/>
    </row>
    <row r="1376" spans="11:14">
      <c r="K1376" s="118"/>
      <c r="L1376" s="4"/>
      <c r="M1376" s="4"/>
      <c r="N1376" s="4"/>
    </row>
    <row r="1377" spans="11:14">
      <c r="K1377" s="118"/>
      <c r="L1377" s="4"/>
      <c r="M1377" s="4"/>
      <c r="N1377" s="4"/>
    </row>
    <row r="1378" spans="11:14">
      <c r="K1378" s="118"/>
      <c r="L1378" s="4"/>
      <c r="M1378" s="4"/>
      <c r="N1378" s="4"/>
    </row>
    <row r="1379" spans="11:14">
      <c r="K1379" s="118"/>
      <c r="L1379" s="4"/>
      <c r="M1379" s="4"/>
      <c r="N1379" s="4"/>
    </row>
    <row r="1380" spans="11:14">
      <c r="K1380" s="118"/>
      <c r="L1380" s="4"/>
      <c r="M1380" s="4"/>
      <c r="N1380" s="4"/>
    </row>
    <row r="1381" spans="11:14">
      <c r="K1381" s="118"/>
      <c r="L1381" s="4"/>
      <c r="M1381" s="4"/>
      <c r="N1381" s="4"/>
    </row>
    <row r="1382" spans="11:14">
      <c r="K1382" s="118"/>
      <c r="L1382" s="4"/>
      <c r="M1382" s="4"/>
      <c r="N1382" s="4"/>
    </row>
    <row r="1383" spans="11:14">
      <c r="K1383" s="118"/>
      <c r="L1383" s="4"/>
      <c r="M1383" s="4"/>
      <c r="N1383" s="4"/>
    </row>
    <row r="1384" spans="11:14">
      <c r="K1384" s="118"/>
      <c r="L1384" s="4"/>
      <c r="M1384" s="4"/>
      <c r="N1384" s="4"/>
    </row>
    <row r="1385" spans="11:14">
      <c r="K1385" s="118"/>
      <c r="L1385" s="4"/>
      <c r="M1385" s="4"/>
      <c r="N1385" s="4"/>
    </row>
    <row r="1386" spans="11:14">
      <c r="K1386" s="118"/>
      <c r="L1386" s="4"/>
      <c r="M1386" s="4"/>
      <c r="N1386" s="4"/>
    </row>
    <row r="1387" spans="11:14">
      <c r="K1387" s="118"/>
      <c r="L1387" s="4"/>
      <c r="M1387" s="4"/>
      <c r="N1387" s="4"/>
    </row>
    <row r="1388" spans="11:14">
      <c r="K1388" s="118"/>
      <c r="L1388" s="4"/>
      <c r="M1388" s="4"/>
      <c r="N1388" s="4"/>
    </row>
    <row r="1389" spans="11:14">
      <c r="K1389" s="118"/>
      <c r="L1389" s="4"/>
      <c r="M1389" s="4"/>
      <c r="N1389" s="4"/>
    </row>
    <row r="1390" spans="11:14">
      <c r="K1390" s="118"/>
      <c r="L1390" s="4"/>
      <c r="M1390" s="4"/>
      <c r="N1390" s="4"/>
    </row>
    <row r="1391" spans="11:14">
      <c r="K1391" s="118"/>
      <c r="L1391" s="4"/>
      <c r="M1391" s="4"/>
      <c r="N1391" s="4"/>
    </row>
    <row r="1392" spans="11:14">
      <c r="K1392" s="118"/>
      <c r="L1392" s="4"/>
      <c r="M1392" s="4"/>
      <c r="N1392" s="4"/>
    </row>
    <row r="1393" spans="11:14">
      <c r="K1393" s="118"/>
      <c r="L1393" s="4"/>
      <c r="M1393" s="4"/>
      <c r="N1393" s="4"/>
    </row>
    <row r="1394" spans="11:14">
      <c r="K1394" s="118"/>
      <c r="L1394" s="4"/>
      <c r="M1394" s="4"/>
      <c r="N1394" s="4"/>
    </row>
    <row r="1395" spans="11:14">
      <c r="K1395" s="118"/>
      <c r="L1395" s="4"/>
      <c r="M1395" s="4"/>
      <c r="N1395" s="4"/>
    </row>
    <row r="1396" spans="11:14">
      <c r="K1396" s="118"/>
      <c r="L1396" s="4"/>
      <c r="M1396" s="4"/>
      <c r="N1396" s="4"/>
    </row>
    <row r="1397" spans="11:14">
      <c r="K1397" s="118"/>
      <c r="L1397" s="4"/>
      <c r="M1397" s="4"/>
      <c r="N1397" s="4"/>
    </row>
    <row r="1398" spans="11:14">
      <c r="K1398" s="118"/>
      <c r="L1398" s="4"/>
      <c r="M1398" s="4"/>
      <c r="N1398" s="4"/>
    </row>
    <row r="1399" spans="11:14">
      <c r="K1399" s="118"/>
      <c r="L1399" s="4"/>
      <c r="M1399" s="4"/>
      <c r="N1399" s="4"/>
    </row>
    <row r="1400" spans="11:14">
      <c r="K1400" s="118"/>
      <c r="L1400" s="4"/>
      <c r="M1400" s="4"/>
      <c r="N1400" s="4"/>
    </row>
    <row r="1401" spans="11:14">
      <c r="K1401" s="118"/>
      <c r="L1401" s="4"/>
      <c r="M1401" s="4"/>
      <c r="N1401" s="4"/>
    </row>
    <row r="1402" spans="11:14">
      <c r="K1402" s="118"/>
      <c r="L1402" s="4"/>
      <c r="M1402" s="4"/>
      <c r="N1402" s="4"/>
    </row>
    <row r="1403" spans="11:14">
      <c r="K1403" s="118"/>
      <c r="L1403" s="4"/>
      <c r="M1403" s="4"/>
      <c r="N1403" s="4"/>
    </row>
    <row r="1404" spans="11:14">
      <c r="K1404" s="118"/>
      <c r="L1404" s="4"/>
      <c r="M1404" s="4"/>
      <c r="N1404" s="4"/>
    </row>
    <row r="1405" spans="11:14">
      <c r="K1405" s="118"/>
      <c r="L1405" s="4"/>
      <c r="M1405" s="4"/>
      <c r="N1405" s="4"/>
    </row>
    <row r="1406" spans="11:14">
      <c r="K1406" s="118"/>
      <c r="L1406" s="4"/>
      <c r="M1406" s="4"/>
      <c r="N1406" s="4"/>
    </row>
    <row r="1407" spans="11:14">
      <c r="K1407" s="118"/>
      <c r="L1407" s="4"/>
      <c r="M1407" s="4"/>
      <c r="N1407" s="4"/>
    </row>
    <row r="1408" spans="11:14">
      <c r="K1408" s="118"/>
      <c r="L1408" s="4"/>
      <c r="M1408" s="4"/>
      <c r="N1408" s="4"/>
    </row>
    <row r="1409" spans="11:14">
      <c r="K1409" s="118"/>
      <c r="L1409" s="4"/>
      <c r="M1409" s="4"/>
      <c r="N1409" s="4"/>
    </row>
    <row r="1410" spans="11:14">
      <c r="K1410" s="118"/>
      <c r="L1410" s="4"/>
      <c r="M1410" s="4"/>
      <c r="N1410" s="4"/>
    </row>
    <row r="1411" spans="11:14">
      <c r="K1411" s="118"/>
      <c r="L1411" s="4"/>
      <c r="M1411" s="4"/>
      <c r="N1411" s="4"/>
    </row>
    <row r="1412" spans="11:14">
      <c r="K1412" s="118"/>
      <c r="L1412" s="4"/>
      <c r="M1412" s="4"/>
      <c r="N1412" s="4"/>
    </row>
    <row r="1413" spans="11:14">
      <c r="K1413" s="118"/>
      <c r="L1413" s="4"/>
      <c r="M1413" s="4"/>
      <c r="N1413" s="4"/>
    </row>
    <row r="1414" spans="11:14">
      <c r="K1414" s="118"/>
      <c r="L1414" s="4"/>
      <c r="M1414" s="4"/>
      <c r="N1414" s="4"/>
    </row>
    <row r="1415" spans="11:14">
      <c r="K1415" s="118"/>
      <c r="L1415" s="4"/>
      <c r="M1415" s="4"/>
      <c r="N1415" s="4"/>
    </row>
    <row r="1416" spans="11:14">
      <c r="K1416" s="118"/>
      <c r="L1416" s="4"/>
      <c r="M1416" s="4"/>
      <c r="N1416" s="4"/>
    </row>
    <row r="1417" spans="11:14">
      <c r="K1417" s="118"/>
      <c r="L1417" s="4"/>
      <c r="M1417" s="4"/>
      <c r="N1417" s="4"/>
    </row>
    <row r="1418" spans="11:14">
      <c r="K1418" s="118"/>
      <c r="L1418" s="4"/>
      <c r="M1418" s="4"/>
      <c r="N1418" s="4"/>
    </row>
    <row r="1419" spans="11:14">
      <c r="K1419" s="118"/>
      <c r="L1419" s="4"/>
      <c r="M1419" s="4"/>
      <c r="N1419" s="4"/>
    </row>
    <row r="1420" spans="11:14">
      <c r="K1420" s="118"/>
      <c r="L1420" s="4"/>
      <c r="M1420" s="4"/>
      <c r="N1420" s="4"/>
    </row>
    <row r="1421" spans="11:14">
      <c r="K1421" s="118"/>
      <c r="L1421" s="4"/>
      <c r="M1421" s="4"/>
      <c r="N1421" s="4"/>
    </row>
    <row r="1422" spans="11:14">
      <c r="K1422" s="118"/>
      <c r="L1422" s="4"/>
      <c r="M1422" s="4"/>
      <c r="N1422" s="4"/>
    </row>
    <row r="1423" spans="11:14">
      <c r="K1423" s="118"/>
      <c r="L1423" s="4"/>
      <c r="M1423" s="4"/>
      <c r="N1423" s="4"/>
    </row>
    <row r="1424" spans="11:14">
      <c r="K1424" s="118"/>
      <c r="L1424" s="4"/>
      <c r="M1424" s="4"/>
      <c r="N1424" s="4"/>
    </row>
    <row r="1425" spans="11:14">
      <c r="K1425" s="118"/>
      <c r="L1425" s="4"/>
      <c r="M1425" s="4"/>
      <c r="N1425" s="4"/>
    </row>
    <row r="1426" spans="11:14">
      <c r="K1426" s="118"/>
      <c r="L1426" s="4"/>
      <c r="M1426" s="4"/>
      <c r="N1426" s="4"/>
    </row>
    <row r="1427" spans="11:14">
      <c r="K1427" s="118"/>
      <c r="L1427" s="4"/>
      <c r="M1427" s="4"/>
      <c r="N1427" s="4"/>
    </row>
    <row r="1428" spans="11:14">
      <c r="K1428" s="118"/>
      <c r="L1428" s="4"/>
      <c r="M1428" s="4"/>
      <c r="N1428" s="4"/>
    </row>
    <row r="1429" spans="11:14">
      <c r="K1429" s="118"/>
      <c r="L1429" s="4"/>
      <c r="M1429" s="4"/>
      <c r="N1429" s="4"/>
    </row>
    <row r="1430" spans="11:14">
      <c r="K1430" s="118"/>
      <c r="L1430" s="4"/>
      <c r="M1430" s="4"/>
      <c r="N1430" s="4"/>
    </row>
    <row r="1431" spans="11:14">
      <c r="K1431" s="118"/>
      <c r="L1431" s="4"/>
      <c r="M1431" s="4"/>
      <c r="N1431" s="4"/>
    </row>
    <row r="1432" spans="11:14">
      <c r="K1432" s="118"/>
      <c r="L1432" s="4"/>
      <c r="M1432" s="4"/>
      <c r="N1432" s="4"/>
    </row>
    <row r="1433" spans="11:14">
      <c r="K1433" s="118"/>
      <c r="L1433" s="4"/>
      <c r="M1433" s="4"/>
      <c r="N1433" s="4"/>
    </row>
    <row r="1434" spans="11:14">
      <c r="K1434" s="118"/>
      <c r="L1434" s="4"/>
      <c r="M1434" s="4"/>
      <c r="N1434" s="4"/>
    </row>
    <row r="1435" spans="11:14">
      <c r="K1435" s="118"/>
      <c r="L1435" s="4"/>
      <c r="M1435" s="4"/>
      <c r="N1435" s="4"/>
    </row>
    <row r="1436" spans="11:14">
      <c r="K1436" s="118"/>
      <c r="L1436" s="4"/>
      <c r="M1436" s="4"/>
      <c r="N1436" s="4"/>
    </row>
    <row r="1437" spans="11:14">
      <c r="K1437" s="118"/>
      <c r="L1437" s="4"/>
      <c r="M1437" s="4"/>
      <c r="N1437" s="4"/>
    </row>
    <row r="1438" spans="11:14">
      <c r="K1438" s="118"/>
      <c r="L1438" s="4"/>
      <c r="M1438" s="4"/>
      <c r="N1438" s="4"/>
    </row>
    <row r="1439" spans="11:14">
      <c r="K1439" s="118"/>
      <c r="L1439" s="4"/>
      <c r="M1439" s="4"/>
      <c r="N1439" s="4"/>
    </row>
    <row r="1440" spans="11:14">
      <c r="K1440" s="118"/>
      <c r="L1440" s="4"/>
      <c r="M1440" s="4"/>
      <c r="N1440" s="4"/>
    </row>
    <row r="1441" spans="11:14">
      <c r="K1441" s="118"/>
      <c r="L1441" s="4"/>
      <c r="M1441" s="4"/>
      <c r="N1441" s="4"/>
    </row>
    <row r="1442" spans="11:14">
      <c r="K1442" s="118"/>
      <c r="L1442" s="4"/>
      <c r="M1442" s="4"/>
      <c r="N1442" s="4"/>
    </row>
    <row r="1443" spans="11:14">
      <c r="K1443" s="118"/>
      <c r="L1443" s="4"/>
      <c r="M1443" s="4"/>
      <c r="N1443" s="4"/>
    </row>
    <row r="1444" spans="11:14">
      <c r="K1444" s="118"/>
      <c r="L1444" s="4"/>
      <c r="M1444" s="4"/>
      <c r="N1444" s="4"/>
    </row>
    <row r="1445" spans="11:14">
      <c r="K1445" s="118"/>
      <c r="L1445" s="4"/>
      <c r="M1445" s="4"/>
      <c r="N1445" s="4"/>
    </row>
    <row r="1446" spans="11:14">
      <c r="K1446" s="118"/>
      <c r="L1446" s="4"/>
      <c r="M1446" s="4"/>
      <c r="N1446" s="4"/>
    </row>
    <row r="1447" spans="11:14">
      <c r="K1447" s="118"/>
      <c r="L1447" s="4"/>
      <c r="M1447" s="4"/>
      <c r="N1447" s="4"/>
    </row>
    <row r="1448" spans="11:14">
      <c r="K1448" s="118"/>
      <c r="L1448" s="4"/>
      <c r="M1448" s="4"/>
      <c r="N1448" s="4"/>
    </row>
    <row r="1449" spans="11:14">
      <c r="K1449" s="118"/>
      <c r="L1449" s="4"/>
      <c r="M1449" s="4"/>
      <c r="N1449" s="4"/>
    </row>
    <row r="1450" spans="11:14">
      <c r="K1450" s="118"/>
      <c r="L1450" s="4"/>
      <c r="M1450" s="4"/>
      <c r="N1450" s="4"/>
    </row>
    <row r="1451" spans="11:14">
      <c r="K1451" s="118"/>
      <c r="L1451" s="4"/>
      <c r="M1451" s="4"/>
      <c r="N1451" s="4"/>
    </row>
    <row r="1452" spans="11:14">
      <c r="K1452" s="118"/>
      <c r="L1452" s="4"/>
      <c r="M1452" s="4"/>
      <c r="N1452" s="4"/>
    </row>
    <row r="1453" spans="11:14">
      <c r="K1453" s="118"/>
      <c r="L1453" s="4"/>
      <c r="M1453" s="4"/>
      <c r="N1453" s="4"/>
    </row>
    <row r="1454" spans="11:14">
      <c r="K1454" s="118"/>
      <c r="L1454" s="4"/>
      <c r="M1454" s="4"/>
      <c r="N1454" s="4"/>
    </row>
    <row r="1455" spans="11:14">
      <c r="K1455" s="118"/>
      <c r="L1455" s="4"/>
      <c r="M1455" s="4"/>
      <c r="N1455" s="4"/>
    </row>
    <row r="1456" spans="11:14">
      <c r="K1456" s="118"/>
      <c r="L1456" s="4"/>
      <c r="M1456" s="4"/>
      <c r="N1456" s="4"/>
    </row>
    <row r="1457" spans="11:14">
      <c r="K1457" s="118"/>
      <c r="L1457" s="4"/>
      <c r="M1457" s="4"/>
      <c r="N1457" s="4"/>
    </row>
    <row r="1458" spans="11:14">
      <c r="K1458" s="118"/>
      <c r="L1458" s="4"/>
      <c r="M1458" s="4"/>
      <c r="N1458" s="4"/>
    </row>
    <row r="1459" spans="11:14">
      <c r="K1459" s="118"/>
      <c r="L1459" s="4"/>
      <c r="M1459" s="4"/>
      <c r="N1459" s="4"/>
    </row>
    <row r="1460" spans="11:14">
      <c r="K1460" s="118"/>
      <c r="L1460" s="4"/>
      <c r="M1460" s="4"/>
      <c r="N1460" s="4"/>
    </row>
    <row r="1461" spans="11:14">
      <c r="K1461" s="118"/>
      <c r="L1461" s="4"/>
      <c r="M1461" s="4"/>
      <c r="N1461" s="4"/>
    </row>
    <row r="1462" spans="11:14">
      <c r="K1462" s="118"/>
      <c r="L1462" s="4"/>
      <c r="M1462" s="4"/>
      <c r="N1462" s="4"/>
    </row>
    <row r="1463" spans="11:14">
      <c r="K1463" s="118"/>
      <c r="L1463" s="4"/>
      <c r="M1463" s="4"/>
      <c r="N1463" s="4"/>
    </row>
    <row r="1464" spans="11:14">
      <c r="K1464" s="118"/>
      <c r="L1464" s="4"/>
      <c r="M1464" s="4"/>
      <c r="N1464" s="4"/>
    </row>
    <row r="1465" spans="11:14">
      <c r="K1465" s="118"/>
      <c r="L1465" s="4"/>
      <c r="M1465" s="4"/>
      <c r="N1465" s="4"/>
    </row>
    <row r="1466" spans="11:14">
      <c r="K1466" s="118"/>
      <c r="L1466" s="4"/>
      <c r="M1466" s="4"/>
      <c r="N1466" s="4"/>
    </row>
    <row r="1467" spans="11:14">
      <c r="K1467" s="118"/>
      <c r="L1467" s="4"/>
      <c r="M1467" s="4"/>
      <c r="N1467" s="4"/>
    </row>
    <row r="1468" spans="11:14">
      <c r="K1468" s="118"/>
      <c r="L1468" s="4"/>
      <c r="M1468" s="4"/>
      <c r="N1468" s="4"/>
    </row>
    <row r="1469" spans="11:14">
      <c r="K1469" s="118"/>
      <c r="L1469" s="4"/>
      <c r="M1469" s="4"/>
      <c r="N1469" s="4"/>
    </row>
    <row r="1470" spans="11:14">
      <c r="K1470" s="118"/>
      <c r="L1470" s="4"/>
      <c r="M1470" s="4"/>
      <c r="N1470" s="4"/>
    </row>
    <row r="1471" spans="11:14">
      <c r="K1471" s="118"/>
      <c r="L1471" s="4"/>
      <c r="M1471" s="4"/>
      <c r="N1471" s="4"/>
    </row>
    <row r="1472" spans="11:14">
      <c r="K1472" s="118"/>
      <c r="L1472" s="4"/>
      <c r="M1472" s="4"/>
      <c r="N1472" s="4"/>
    </row>
    <row r="1473" spans="11:14">
      <c r="K1473" s="118"/>
      <c r="L1473" s="4"/>
      <c r="M1473" s="4"/>
      <c r="N1473" s="4"/>
    </row>
    <row r="1474" spans="11:14">
      <c r="K1474" s="118"/>
      <c r="L1474" s="4"/>
      <c r="M1474" s="4"/>
      <c r="N1474" s="4"/>
    </row>
    <row r="1475" spans="11:14">
      <c r="K1475" s="118"/>
      <c r="L1475" s="4"/>
      <c r="M1475" s="4"/>
      <c r="N1475" s="4"/>
    </row>
    <row r="1476" spans="11:14">
      <c r="K1476" s="118"/>
      <c r="L1476" s="4"/>
      <c r="M1476" s="4"/>
      <c r="N1476" s="4"/>
    </row>
    <row r="1477" spans="11:14">
      <c r="K1477" s="118"/>
      <c r="L1477" s="4"/>
      <c r="M1477" s="4"/>
      <c r="N1477" s="4"/>
    </row>
    <row r="1478" spans="11:14">
      <c r="K1478" s="118"/>
      <c r="L1478" s="4"/>
      <c r="M1478" s="4"/>
      <c r="N1478" s="4"/>
    </row>
    <row r="1479" spans="11:14">
      <c r="K1479" s="118"/>
      <c r="L1479" s="4"/>
      <c r="M1479" s="4"/>
      <c r="N1479" s="4"/>
    </row>
    <row r="1480" spans="11:14">
      <c r="K1480" s="118"/>
      <c r="L1480" s="4"/>
      <c r="M1480" s="4"/>
      <c r="N1480" s="4"/>
    </row>
    <row r="1481" spans="11:14">
      <c r="K1481" s="118"/>
      <c r="L1481" s="4"/>
      <c r="M1481" s="4"/>
      <c r="N1481" s="4"/>
    </row>
    <row r="1482" spans="11:14">
      <c r="K1482" s="118"/>
      <c r="L1482" s="4"/>
      <c r="M1482" s="4"/>
      <c r="N1482" s="4"/>
    </row>
    <row r="1483" spans="11:14">
      <c r="K1483" s="118"/>
      <c r="L1483" s="4"/>
      <c r="M1483" s="4"/>
      <c r="N1483" s="4"/>
    </row>
    <row r="1484" spans="11:14">
      <c r="K1484" s="118"/>
      <c r="L1484" s="4"/>
      <c r="M1484" s="4"/>
      <c r="N1484" s="4"/>
    </row>
    <row r="1485" spans="11:14">
      <c r="K1485" s="118"/>
      <c r="L1485" s="4"/>
      <c r="M1485" s="4"/>
      <c r="N1485" s="4"/>
    </row>
    <row r="1486" spans="11:14">
      <c r="K1486" s="118"/>
      <c r="L1486" s="4"/>
      <c r="M1486" s="4"/>
      <c r="N1486" s="4"/>
    </row>
    <row r="1487" spans="11:14">
      <c r="K1487" s="118"/>
      <c r="L1487" s="4"/>
      <c r="M1487" s="4"/>
      <c r="N1487" s="4"/>
    </row>
    <row r="1488" spans="11:14">
      <c r="K1488" s="118"/>
      <c r="L1488" s="4"/>
      <c r="M1488" s="4"/>
      <c r="N1488" s="4"/>
    </row>
    <row r="1489" spans="11:14">
      <c r="K1489" s="118"/>
      <c r="L1489" s="4"/>
      <c r="M1489" s="4"/>
      <c r="N1489" s="4"/>
    </row>
    <row r="1490" spans="11:14">
      <c r="K1490" s="118"/>
      <c r="L1490" s="4"/>
      <c r="M1490" s="4"/>
      <c r="N1490" s="4"/>
    </row>
    <row r="1491" spans="11:14">
      <c r="K1491" s="118"/>
      <c r="L1491" s="4"/>
      <c r="M1491" s="4"/>
      <c r="N1491" s="4"/>
    </row>
    <row r="1492" spans="11:14">
      <c r="K1492" s="118"/>
      <c r="L1492" s="4"/>
      <c r="M1492" s="4"/>
      <c r="N1492" s="4"/>
    </row>
    <row r="1493" spans="11:14">
      <c r="K1493" s="118"/>
      <c r="L1493" s="4"/>
      <c r="M1493" s="4"/>
      <c r="N1493" s="4"/>
    </row>
    <row r="1494" spans="11:14">
      <c r="K1494" s="118"/>
      <c r="L1494" s="4"/>
      <c r="M1494" s="4"/>
      <c r="N1494" s="4"/>
    </row>
    <row r="1495" spans="11:14">
      <c r="K1495" s="118"/>
      <c r="L1495" s="4"/>
      <c r="M1495" s="4"/>
      <c r="N1495" s="4"/>
    </row>
    <row r="1496" spans="11:14">
      <c r="K1496" s="118"/>
      <c r="L1496" s="4"/>
      <c r="M1496" s="4"/>
      <c r="N1496" s="4"/>
    </row>
    <row r="1497" spans="11:14">
      <c r="K1497" s="118"/>
      <c r="L1497" s="4"/>
      <c r="M1497" s="4"/>
      <c r="N1497" s="4"/>
    </row>
    <row r="1498" spans="11:14">
      <c r="K1498" s="118"/>
      <c r="L1498" s="4"/>
      <c r="M1498" s="4"/>
      <c r="N1498" s="4"/>
    </row>
    <row r="1499" spans="11:14">
      <c r="K1499" s="118"/>
      <c r="L1499" s="4"/>
      <c r="M1499" s="4"/>
      <c r="N1499" s="4"/>
    </row>
    <row r="1500" spans="11:14">
      <c r="K1500" s="118"/>
      <c r="L1500" s="4"/>
      <c r="M1500" s="4"/>
      <c r="N1500" s="4"/>
    </row>
    <row r="1501" spans="11:14">
      <c r="K1501" s="118"/>
      <c r="L1501" s="4"/>
      <c r="M1501" s="4"/>
      <c r="N1501" s="4"/>
    </row>
    <row r="1502" spans="11:14">
      <c r="K1502" s="118"/>
      <c r="L1502" s="4"/>
      <c r="M1502" s="4"/>
      <c r="N1502" s="4"/>
    </row>
    <row r="1503" spans="11:14">
      <c r="K1503" s="118"/>
      <c r="L1503" s="4"/>
      <c r="M1503" s="4"/>
      <c r="N1503" s="4"/>
    </row>
    <row r="1504" spans="11:14">
      <c r="K1504" s="118"/>
      <c r="L1504" s="4"/>
      <c r="M1504" s="4"/>
      <c r="N1504" s="4"/>
    </row>
    <row r="1505" spans="11:14">
      <c r="K1505" s="118"/>
      <c r="L1505" s="4"/>
      <c r="M1505" s="4"/>
      <c r="N1505" s="4"/>
    </row>
    <row r="1506" spans="11:14">
      <c r="K1506" s="118"/>
      <c r="L1506" s="4"/>
      <c r="M1506" s="4"/>
      <c r="N1506" s="4"/>
    </row>
    <row r="1507" spans="11:14">
      <c r="K1507" s="118"/>
      <c r="L1507" s="4"/>
      <c r="M1507" s="4"/>
      <c r="N1507" s="4"/>
    </row>
    <row r="1508" spans="11:14">
      <c r="K1508" s="118"/>
      <c r="L1508" s="4"/>
      <c r="M1508" s="4"/>
      <c r="N1508" s="4"/>
    </row>
    <row r="1509" spans="11:14">
      <c r="K1509" s="118"/>
      <c r="L1509" s="4"/>
      <c r="M1509" s="4"/>
      <c r="N1509" s="4"/>
    </row>
    <row r="1510" spans="11:14">
      <c r="K1510" s="118"/>
      <c r="L1510" s="4"/>
      <c r="M1510" s="4"/>
      <c r="N1510" s="4"/>
    </row>
    <row r="1511" spans="11:14">
      <c r="K1511" s="118"/>
      <c r="L1511" s="4"/>
      <c r="M1511" s="4"/>
      <c r="N1511" s="4"/>
    </row>
    <row r="1512" spans="11:14">
      <c r="K1512" s="118"/>
      <c r="L1512" s="4"/>
      <c r="M1512" s="4"/>
      <c r="N1512" s="4"/>
    </row>
    <row r="1513" spans="11:14">
      <c r="K1513" s="118"/>
      <c r="L1513" s="4"/>
      <c r="M1513" s="4"/>
      <c r="N1513" s="4"/>
    </row>
    <row r="1514" spans="11:14">
      <c r="K1514" s="118"/>
      <c r="L1514" s="4"/>
      <c r="M1514" s="4"/>
      <c r="N1514" s="4"/>
    </row>
    <row r="1515" spans="11:14">
      <c r="K1515" s="118"/>
      <c r="L1515" s="4"/>
      <c r="M1515" s="4"/>
      <c r="N1515" s="4"/>
    </row>
    <row r="1516" spans="11:14">
      <c r="K1516" s="118"/>
      <c r="L1516" s="4"/>
      <c r="M1516" s="4"/>
      <c r="N1516" s="4"/>
    </row>
    <row r="1517" spans="11:14">
      <c r="K1517" s="118"/>
      <c r="L1517" s="4"/>
      <c r="M1517" s="4"/>
      <c r="N1517" s="4"/>
    </row>
    <row r="1518" spans="11:14">
      <c r="K1518" s="118"/>
      <c r="L1518" s="4"/>
      <c r="M1518" s="4"/>
      <c r="N1518" s="4"/>
    </row>
    <row r="1519" spans="11:14">
      <c r="K1519" s="118"/>
      <c r="L1519" s="4"/>
      <c r="M1519" s="4"/>
      <c r="N1519" s="4"/>
    </row>
    <row r="1520" spans="11:14">
      <c r="K1520" s="118"/>
      <c r="L1520" s="4"/>
      <c r="M1520" s="4"/>
      <c r="N1520" s="4"/>
    </row>
    <row r="1521" spans="11:14">
      <c r="K1521" s="118"/>
      <c r="L1521" s="4"/>
      <c r="M1521" s="4"/>
      <c r="N1521" s="4"/>
    </row>
    <row r="1522" spans="11:14">
      <c r="K1522" s="118"/>
      <c r="L1522" s="4"/>
      <c r="M1522" s="4"/>
      <c r="N1522" s="4"/>
    </row>
    <row r="1523" spans="11:14">
      <c r="K1523" s="118"/>
      <c r="L1523" s="4"/>
      <c r="M1523" s="4"/>
      <c r="N1523" s="4"/>
    </row>
    <row r="1524" spans="11:14">
      <c r="K1524" s="118"/>
      <c r="L1524" s="4"/>
      <c r="M1524" s="4"/>
      <c r="N1524" s="4"/>
    </row>
    <row r="1525" spans="11:14">
      <c r="K1525" s="118"/>
      <c r="L1525" s="4"/>
      <c r="M1525" s="4"/>
      <c r="N1525" s="4"/>
    </row>
    <row r="1526" spans="11:14">
      <c r="K1526" s="118"/>
      <c r="L1526" s="4"/>
      <c r="M1526" s="4"/>
      <c r="N1526" s="4"/>
    </row>
    <row r="1527" spans="11:14">
      <c r="K1527" s="118"/>
      <c r="L1527" s="4"/>
      <c r="M1527" s="4"/>
      <c r="N1527" s="4"/>
    </row>
    <row r="1528" spans="11:14">
      <c r="K1528" s="118"/>
      <c r="L1528" s="4"/>
      <c r="M1528" s="4"/>
      <c r="N1528" s="4"/>
    </row>
    <row r="1529" spans="11:14">
      <c r="K1529" s="118"/>
      <c r="L1529" s="4"/>
      <c r="M1529" s="4"/>
      <c r="N1529" s="4"/>
    </row>
    <row r="1530" spans="11:14">
      <c r="K1530" s="118"/>
      <c r="L1530" s="4"/>
      <c r="M1530" s="4"/>
      <c r="N1530" s="4"/>
    </row>
    <row r="1531" spans="11:14">
      <c r="K1531" s="118"/>
      <c r="L1531" s="4"/>
      <c r="M1531" s="4"/>
      <c r="N1531" s="4"/>
    </row>
    <row r="1532" spans="11:14">
      <c r="K1532" s="118"/>
      <c r="L1532" s="4"/>
      <c r="M1532" s="4"/>
      <c r="N1532" s="4"/>
    </row>
    <row r="1533" spans="11:14">
      <c r="K1533" s="118"/>
      <c r="L1533" s="4"/>
      <c r="M1533" s="4"/>
      <c r="N1533" s="4"/>
    </row>
    <row r="1534" spans="11:14">
      <c r="K1534" s="118"/>
      <c r="L1534" s="4"/>
      <c r="M1534" s="4"/>
      <c r="N1534" s="4"/>
    </row>
    <row r="1535" spans="11:14">
      <c r="K1535" s="118"/>
      <c r="L1535" s="4"/>
      <c r="M1535" s="4"/>
      <c r="N1535" s="4"/>
    </row>
    <row r="1536" spans="11:14">
      <c r="K1536" s="118"/>
      <c r="L1536" s="4"/>
      <c r="M1536" s="4"/>
      <c r="N1536" s="4"/>
    </row>
    <row r="1537" spans="11:14">
      <c r="K1537" s="118"/>
      <c r="L1537" s="4"/>
      <c r="M1537" s="4"/>
      <c r="N1537" s="4"/>
    </row>
    <row r="1538" spans="11:14">
      <c r="K1538" s="118"/>
      <c r="L1538" s="4"/>
      <c r="M1538" s="4"/>
      <c r="N1538" s="4"/>
    </row>
    <row r="1539" spans="11:14">
      <c r="K1539" s="118"/>
      <c r="L1539" s="4"/>
      <c r="M1539" s="4"/>
      <c r="N1539" s="4"/>
    </row>
    <row r="1540" spans="11:14">
      <c r="K1540" s="118"/>
      <c r="L1540" s="4"/>
      <c r="M1540" s="4"/>
      <c r="N1540" s="4"/>
    </row>
    <row r="1541" spans="11:14">
      <c r="K1541" s="118"/>
      <c r="L1541" s="4"/>
      <c r="M1541" s="4"/>
      <c r="N1541" s="4"/>
    </row>
    <row r="1542" spans="11:14">
      <c r="K1542" s="118"/>
      <c r="L1542" s="4"/>
      <c r="M1542" s="4"/>
      <c r="N1542" s="4"/>
    </row>
    <row r="1543" spans="11:14">
      <c r="K1543" s="118"/>
      <c r="L1543" s="4"/>
      <c r="M1543" s="4"/>
      <c r="N1543" s="4"/>
    </row>
    <row r="1544" spans="11:14">
      <c r="K1544" s="118"/>
      <c r="L1544" s="4"/>
      <c r="M1544" s="4"/>
      <c r="N1544" s="4"/>
    </row>
    <row r="1545" spans="11:14">
      <c r="K1545" s="118"/>
      <c r="L1545" s="4"/>
      <c r="M1545" s="4"/>
      <c r="N1545" s="4"/>
    </row>
    <row r="1546" spans="11:14">
      <c r="K1546" s="118"/>
      <c r="L1546" s="4"/>
      <c r="M1546" s="4"/>
      <c r="N1546" s="4"/>
    </row>
    <row r="1547" spans="11:14">
      <c r="K1547" s="118"/>
      <c r="L1547" s="4"/>
      <c r="M1547" s="4"/>
      <c r="N1547" s="4"/>
    </row>
    <row r="1548" spans="11:14">
      <c r="K1548" s="118"/>
      <c r="L1548" s="4"/>
      <c r="M1548" s="4"/>
      <c r="N1548" s="4"/>
    </row>
    <row r="1549" spans="11:14">
      <c r="K1549" s="118"/>
      <c r="L1549" s="4"/>
      <c r="M1549" s="4"/>
      <c r="N1549" s="4"/>
    </row>
    <row r="1550" spans="11:14">
      <c r="K1550" s="118"/>
      <c r="L1550" s="4"/>
      <c r="M1550" s="4"/>
      <c r="N1550" s="4"/>
    </row>
    <row r="1551" spans="11:14">
      <c r="K1551" s="118"/>
      <c r="L1551" s="4"/>
      <c r="M1551" s="4"/>
      <c r="N1551" s="4"/>
    </row>
    <row r="1552" spans="11:14">
      <c r="K1552" s="118"/>
      <c r="L1552" s="4"/>
      <c r="M1552" s="4"/>
      <c r="N1552" s="4"/>
    </row>
    <row r="1553" spans="11:14">
      <c r="K1553" s="118"/>
      <c r="L1553" s="4"/>
      <c r="M1553" s="4"/>
      <c r="N1553" s="4"/>
    </row>
    <row r="1554" spans="11:14">
      <c r="K1554" s="118"/>
      <c r="L1554" s="4"/>
      <c r="M1554" s="4"/>
      <c r="N1554" s="4"/>
    </row>
    <row r="1555" spans="11:14">
      <c r="K1555" s="118"/>
      <c r="L1555" s="4"/>
      <c r="M1555" s="4"/>
      <c r="N1555" s="4"/>
    </row>
    <row r="1556" spans="11:14">
      <c r="K1556" s="118"/>
      <c r="L1556" s="4"/>
      <c r="M1556" s="4"/>
      <c r="N1556" s="4"/>
    </row>
    <row r="1557" spans="11:14">
      <c r="K1557" s="118"/>
      <c r="L1557" s="4"/>
      <c r="M1557" s="4"/>
      <c r="N1557" s="4"/>
    </row>
    <row r="1558" spans="11:14">
      <c r="K1558" s="118"/>
      <c r="L1558" s="4"/>
      <c r="M1558" s="4"/>
      <c r="N1558" s="4"/>
    </row>
    <row r="1559" spans="11:14">
      <c r="K1559" s="118"/>
      <c r="L1559" s="4"/>
      <c r="M1559" s="4"/>
      <c r="N1559" s="4"/>
    </row>
    <row r="1560" spans="11:14">
      <c r="K1560" s="118"/>
      <c r="L1560" s="4"/>
      <c r="M1560" s="4"/>
      <c r="N1560" s="4"/>
    </row>
    <row r="1561" spans="11:14">
      <c r="K1561" s="118"/>
      <c r="L1561" s="4"/>
      <c r="M1561" s="4"/>
      <c r="N1561" s="4"/>
    </row>
    <row r="1562" spans="11:14">
      <c r="K1562" s="118"/>
      <c r="L1562" s="4"/>
      <c r="M1562" s="4"/>
      <c r="N1562" s="4"/>
    </row>
    <row r="1563" spans="11:14">
      <c r="K1563" s="118"/>
      <c r="L1563" s="4"/>
      <c r="M1563" s="4"/>
      <c r="N1563" s="4"/>
    </row>
    <row r="1564" spans="11:14">
      <c r="K1564" s="118"/>
      <c r="L1564" s="4"/>
      <c r="M1564" s="4"/>
      <c r="N1564" s="4"/>
    </row>
    <row r="1565" spans="11:14">
      <c r="K1565" s="118"/>
      <c r="L1565" s="4"/>
      <c r="M1565" s="4"/>
      <c r="N1565" s="4"/>
    </row>
    <row r="1566" spans="11:14">
      <c r="K1566" s="118"/>
      <c r="L1566" s="4"/>
      <c r="M1566" s="4"/>
      <c r="N1566" s="4"/>
    </row>
    <row r="1567" spans="11:14">
      <c r="K1567" s="118"/>
      <c r="L1567" s="4"/>
      <c r="M1567" s="4"/>
      <c r="N1567" s="4"/>
    </row>
    <row r="1568" spans="11:14">
      <c r="K1568" s="118"/>
      <c r="L1568" s="4"/>
      <c r="M1568" s="4"/>
      <c r="N1568" s="4"/>
    </row>
    <row r="1569" spans="11:14">
      <c r="K1569" s="118"/>
      <c r="L1569" s="4"/>
      <c r="M1569" s="4"/>
      <c r="N1569" s="4"/>
    </row>
    <row r="1570" spans="11:14">
      <c r="K1570" s="118"/>
      <c r="L1570" s="4"/>
      <c r="M1570" s="4"/>
      <c r="N1570" s="4"/>
    </row>
    <row r="1571" spans="11:14">
      <c r="K1571" s="118"/>
      <c r="L1571" s="4"/>
      <c r="M1571" s="4"/>
      <c r="N1571" s="4"/>
    </row>
    <row r="1572" spans="11:14">
      <c r="K1572" s="118"/>
      <c r="L1572" s="4"/>
      <c r="M1572" s="4"/>
      <c r="N1572" s="4"/>
    </row>
    <row r="1573" spans="11:14">
      <c r="K1573" s="118"/>
      <c r="L1573" s="4"/>
      <c r="M1573" s="4"/>
      <c r="N1573" s="4"/>
    </row>
    <row r="1574" spans="11:14">
      <c r="K1574" s="118"/>
      <c r="L1574" s="4"/>
      <c r="M1574" s="4"/>
      <c r="N1574" s="4"/>
    </row>
    <row r="1575" spans="11:14">
      <c r="K1575" s="118"/>
      <c r="L1575" s="4"/>
      <c r="M1575" s="4"/>
      <c r="N1575" s="4"/>
    </row>
    <row r="1576" spans="11:14">
      <c r="K1576" s="118"/>
      <c r="L1576" s="4"/>
      <c r="M1576" s="4"/>
      <c r="N1576" s="4"/>
    </row>
    <row r="1577" spans="11:14">
      <c r="K1577" s="118"/>
      <c r="L1577" s="4"/>
      <c r="M1577" s="4"/>
      <c r="N1577" s="4"/>
    </row>
    <row r="1578" spans="11:14">
      <c r="K1578" s="118"/>
      <c r="L1578" s="4"/>
      <c r="M1578" s="4"/>
      <c r="N1578" s="4"/>
    </row>
    <row r="1579" spans="11:14">
      <c r="K1579" s="118"/>
      <c r="L1579" s="4"/>
      <c r="M1579" s="4"/>
      <c r="N1579" s="4"/>
    </row>
    <row r="1580" spans="11:14">
      <c r="K1580" s="118"/>
      <c r="L1580" s="4"/>
      <c r="M1580" s="4"/>
      <c r="N1580" s="4"/>
    </row>
    <row r="1581" spans="11:14">
      <c r="K1581" s="118"/>
      <c r="L1581" s="4"/>
      <c r="M1581" s="4"/>
      <c r="N1581" s="4"/>
    </row>
    <row r="1582" spans="11:14">
      <c r="K1582" s="118"/>
      <c r="L1582" s="4"/>
      <c r="M1582" s="4"/>
      <c r="N1582" s="4"/>
    </row>
    <row r="1583" spans="11:14">
      <c r="K1583" s="118"/>
      <c r="L1583" s="4"/>
      <c r="M1583" s="4"/>
      <c r="N1583" s="4"/>
    </row>
    <row r="1584" spans="11:14">
      <c r="K1584" s="118"/>
      <c r="L1584" s="4"/>
      <c r="M1584" s="4"/>
      <c r="N1584" s="4"/>
    </row>
    <row r="1585" spans="11:14">
      <c r="K1585" s="118"/>
      <c r="L1585" s="4"/>
      <c r="M1585" s="4"/>
      <c r="N1585" s="4"/>
    </row>
    <row r="1586" spans="11:14">
      <c r="K1586" s="118"/>
      <c r="L1586" s="4"/>
      <c r="M1586" s="4"/>
      <c r="N1586" s="4"/>
    </row>
    <row r="1587" spans="11:14">
      <c r="K1587" s="118"/>
      <c r="L1587" s="4"/>
      <c r="M1587" s="4"/>
      <c r="N1587" s="4"/>
    </row>
    <row r="1588" spans="11:14">
      <c r="K1588" s="118"/>
      <c r="L1588" s="4"/>
      <c r="M1588" s="4"/>
      <c r="N1588" s="4"/>
    </row>
    <row r="1589" spans="11:14">
      <c r="K1589" s="118"/>
      <c r="L1589" s="4"/>
      <c r="M1589" s="4"/>
      <c r="N1589" s="4"/>
    </row>
    <row r="1590" spans="11:14">
      <c r="K1590" s="118"/>
      <c r="L1590" s="4"/>
      <c r="M1590" s="4"/>
      <c r="N1590" s="4"/>
    </row>
    <row r="1591" spans="11:14">
      <c r="K1591" s="118"/>
      <c r="L1591" s="4"/>
      <c r="M1591" s="4"/>
      <c r="N1591" s="4"/>
    </row>
    <row r="1592" spans="11:14">
      <c r="K1592" s="118"/>
      <c r="L1592" s="4"/>
      <c r="M1592" s="4"/>
      <c r="N1592" s="4"/>
    </row>
    <row r="1593" spans="11:14">
      <c r="K1593" s="118"/>
      <c r="L1593" s="4"/>
      <c r="M1593" s="4"/>
      <c r="N1593" s="4"/>
    </row>
    <row r="1594" spans="11:14">
      <c r="K1594" s="118"/>
      <c r="L1594" s="4"/>
      <c r="M1594" s="4"/>
      <c r="N1594" s="4"/>
    </row>
    <row r="1595" spans="11:14">
      <c r="K1595" s="118"/>
      <c r="L1595" s="4"/>
      <c r="M1595" s="4"/>
      <c r="N1595" s="4"/>
    </row>
    <row r="1596" spans="11:14">
      <c r="K1596" s="118"/>
      <c r="L1596" s="4"/>
      <c r="M1596" s="4"/>
      <c r="N1596" s="4"/>
    </row>
    <row r="1597" spans="11:14">
      <c r="K1597" s="118"/>
      <c r="L1597" s="4"/>
      <c r="M1597" s="4"/>
      <c r="N1597" s="4"/>
    </row>
    <row r="1598" spans="11:14">
      <c r="K1598" s="118"/>
      <c r="L1598" s="4"/>
      <c r="M1598" s="4"/>
      <c r="N1598" s="4"/>
    </row>
    <row r="1599" spans="11:14">
      <c r="K1599" s="118"/>
      <c r="L1599" s="4"/>
      <c r="M1599" s="4"/>
      <c r="N1599" s="4"/>
    </row>
    <row r="1600" spans="11:14">
      <c r="K1600" s="118"/>
      <c r="L1600" s="4"/>
      <c r="M1600" s="4"/>
      <c r="N1600" s="4"/>
    </row>
    <row r="1601" spans="11:14">
      <c r="K1601" s="118"/>
      <c r="L1601" s="4"/>
      <c r="M1601" s="4"/>
      <c r="N1601" s="4"/>
    </row>
    <row r="1602" spans="11:14">
      <c r="K1602" s="118"/>
      <c r="L1602" s="4"/>
      <c r="M1602" s="4"/>
      <c r="N1602" s="4"/>
    </row>
    <row r="1603" spans="11:14">
      <c r="K1603" s="118"/>
      <c r="L1603" s="4"/>
      <c r="M1603" s="4"/>
      <c r="N1603" s="4"/>
    </row>
    <row r="1604" spans="11:14">
      <c r="K1604" s="118"/>
      <c r="L1604" s="4"/>
      <c r="M1604" s="4"/>
      <c r="N1604" s="4"/>
    </row>
    <row r="1605" spans="11:14">
      <c r="K1605" s="118"/>
      <c r="L1605" s="4"/>
      <c r="M1605" s="4"/>
      <c r="N1605" s="4"/>
    </row>
    <row r="1606" spans="11:14">
      <c r="K1606" s="118"/>
      <c r="L1606" s="4"/>
      <c r="M1606" s="4"/>
      <c r="N1606" s="4"/>
    </row>
    <row r="1607" spans="11:14">
      <c r="K1607" s="118"/>
      <c r="L1607" s="4"/>
      <c r="M1607" s="4"/>
      <c r="N1607" s="4"/>
    </row>
    <row r="1608" spans="11:14">
      <c r="K1608" s="118"/>
      <c r="L1608" s="4"/>
      <c r="M1608" s="4"/>
      <c r="N1608" s="4"/>
    </row>
    <row r="1609" spans="11:14">
      <c r="K1609" s="118"/>
      <c r="L1609" s="4"/>
      <c r="M1609" s="4"/>
      <c r="N1609" s="4"/>
    </row>
    <row r="1610" spans="11:14">
      <c r="K1610" s="118"/>
      <c r="L1610" s="4"/>
      <c r="M1610" s="4"/>
      <c r="N1610" s="4"/>
    </row>
    <row r="1611" spans="11:14">
      <c r="K1611" s="118"/>
      <c r="L1611" s="4"/>
      <c r="M1611" s="4"/>
      <c r="N1611" s="4"/>
    </row>
    <row r="1612" spans="11:14">
      <c r="K1612" s="118"/>
      <c r="L1612" s="4"/>
      <c r="M1612" s="4"/>
      <c r="N1612" s="4"/>
    </row>
    <row r="1613" spans="11:14">
      <c r="K1613" s="118"/>
      <c r="L1613" s="4"/>
      <c r="M1613" s="4"/>
      <c r="N1613" s="4"/>
    </row>
    <row r="1614" spans="11:14">
      <c r="K1614" s="118"/>
      <c r="L1614" s="4"/>
      <c r="M1614" s="4"/>
      <c r="N1614" s="4"/>
    </row>
    <row r="1615" spans="11:14">
      <c r="K1615" s="118"/>
      <c r="L1615" s="4"/>
      <c r="M1615" s="4"/>
      <c r="N1615" s="4"/>
    </row>
    <row r="1616" spans="11:14">
      <c r="K1616" s="118"/>
      <c r="L1616" s="4"/>
      <c r="M1616" s="4"/>
      <c r="N1616" s="4"/>
    </row>
    <row r="1617" spans="11:14">
      <c r="K1617" s="118"/>
      <c r="L1617" s="4"/>
      <c r="M1617" s="4"/>
      <c r="N1617" s="4"/>
    </row>
    <row r="1618" spans="11:14">
      <c r="K1618" s="118"/>
      <c r="L1618" s="4"/>
      <c r="M1618" s="4"/>
      <c r="N1618" s="4"/>
    </row>
    <row r="1619" spans="11:14">
      <c r="K1619" s="118"/>
      <c r="L1619" s="4"/>
      <c r="M1619" s="4"/>
      <c r="N1619" s="4"/>
    </row>
    <row r="1620" spans="11:14">
      <c r="K1620" s="118"/>
      <c r="L1620" s="4"/>
      <c r="M1620" s="4"/>
      <c r="N1620" s="4"/>
    </row>
    <row r="1621" spans="11:14">
      <c r="K1621" s="118"/>
      <c r="L1621" s="4"/>
      <c r="M1621" s="4"/>
      <c r="N1621" s="4"/>
    </row>
    <row r="1622" spans="11:14">
      <c r="K1622" s="118"/>
      <c r="L1622" s="4"/>
      <c r="M1622" s="4"/>
      <c r="N1622" s="4"/>
    </row>
    <row r="1623" spans="11:14">
      <c r="K1623" s="118"/>
      <c r="L1623" s="4"/>
      <c r="M1623" s="4"/>
      <c r="N1623" s="4"/>
    </row>
    <row r="1624" spans="11:14">
      <c r="K1624" s="118"/>
      <c r="L1624" s="4"/>
      <c r="M1624" s="4"/>
      <c r="N1624" s="4"/>
    </row>
    <row r="1625" spans="11:14">
      <c r="K1625" s="118"/>
      <c r="L1625" s="4"/>
      <c r="M1625" s="4"/>
      <c r="N1625" s="4"/>
    </row>
    <row r="1626" spans="11:14">
      <c r="K1626" s="118"/>
      <c r="L1626" s="4"/>
      <c r="M1626" s="4"/>
      <c r="N1626" s="4"/>
    </row>
    <row r="1627" spans="11:14">
      <c r="K1627" s="118"/>
      <c r="L1627" s="4"/>
      <c r="M1627" s="4"/>
      <c r="N1627" s="4"/>
    </row>
    <row r="1628" spans="11:14">
      <c r="K1628" s="118"/>
      <c r="L1628" s="4"/>
      <c r="M1628" s="4"/>
      <c r="N1628" s="4"/>
    </row>
    <row r="1629" spans="11:14">
      <c r="K1629" s="118"/>
      <c r="L1629" s="4"/>
      <c r="M1629" s="4"/>
      <c r="N1629" s="4"/>
    </row>
    <row r="1630" spans="11:14">
      <c r="K1630" s="118"/>
      <c r="L1630" s="4"/>
      <c r="M1630" s="4"/>
      <c r="N1630" s="4"/>
    </row>
    <row r="1631" spans="11:14">
      <c r="K1631" s="118"/>
      <c r="L1631" s="4"/>
      <c r="M1631" s="4"/>
      <c r="N1631" s="4"/>
    </row>
    <row r="1632" spans="11:14">
      <c r="K1632" s="118"/>
      <c r="L1632" s="4"/>
      <c r="M1632" s="4"/>
      <c r="N1632" s="4"/>
    </row>
    <row r="1633" spans="11:14">
      <c r="K1633" s="118"/>
      <c r="L1633" s="4"/>
      <c r="M1633" s="4"/>
      <c r="N1633" s="4"/>
    </row>
    <row r="1634" spans="11:14">
      <c r="K1634" s="118"/>
      <c r="L1634" s="4"/>
      <c r="M1634" s="4"/>
      <c r="N1634" s="4"/>
    </row>
    <row r="1635" spans="11:14">
      <c r="K1635" s="118"/>
      <c r="L1635" s="4"/>
      <c r="M1635" s="4"/>
      <c r="N1635" s="4"/>
    </row>
    <row r="1636" spans="11:14">
      <c r="K1636" s="118"/>
      <c r="L1636" s="4"/>
      <c r="M1636" s="4"/>
      <c r="N1636" s="4"/>
    </row>
    <row r="1637" spans="11:14">
      <c r="K1637" s="118"/>
      <c r="L1637" s="4"/>
      <c r="M1637" s="4"/>
      <c r="N1637" s="4"/>
    </row>
    <row r="1638" spans="11:14">
      <c r="K1638" s="118"/>
      <c r="L1638" s="4"/>
      <c r="M1638" s="4"/>
      <c r="N1638" s="4"/>
    </row>
    <row r="1639" spans="11:14">
      <c r="K1639" s="118"/>
      <c r="L1639" s="4"/>
      <c r="M1639" s="4"/>
      <c r="N1639" s="4"/>
    </row>
    <row r="1640" spans="11:14">
      <c r="K1640" s="118"/>
      <c r="L1640" s="4"/>
      <c r="M1640" s="4"/>
      <c r="N1640" s="4"/>
    </row>
    <row r="1641" spans="11:14">
      <c r="K1641" s="118"/>
      <c r="L1641" s="4"/>
      <c r="M1641" s="4"/>
      <c r="N1641" s="4"/>
    </row>
    <row r="1642" spans="11:14">
      <c r="K1642" s="118"/>
      <c r="L1642" s="4"/>
      <c r="M1642" s="4"/>
      <c r="N1642" s="4"/>
    </row>
    <row r="1643" spans="11:14">
      <c r="K1643" s="118"/>
      <c r="L1643" s="4"/>
      <c r="M1643" s="4"/>
      <c r="N1643" s="4"/>
    </row>
    <row r="1644" spans="11:14">
      <c r="K1644" s="118"/>
      <c r="L1644" s="4"/>
      <c r="M1644" s="4"/>
      <c r="N1644" s="4"/>
    </row>
    <row r="1645" spans="11:14">
      <c r="K1645" s="118"/>
      <c r="L1645" s="4"/>
      <c r="M1645" s="4"/>
      <c r="N1645" s="4"/>
    </row>
    <row r="1646" spans="11:14">
      <c r="K1646" s="118"/>
      <c r="L1646" s="4"/>
      <c r="M1646" s="4"/>
      <c r="N1646" s="4"/>
    </row>
    <row r="1647" spans="11:14">
      <c r="K1647" s="118"/>
      <c r="L1647" s="4"/>
      <c r="M1647" s="4"/>
      <c r="N1647" s="4"/>
    </row>
    <row r="1648" spans="11:14">
      <c r="K1648" s="118"/>
      <c r="L1648" s="4"/>
      <c r="M1648" s="4"/>
      <c r="N1648" s="4"/>
    </row>
    <row r="1649" spans="11:14">
      <c r="K1649" s="118"/>
      <c r="L1649" s="4"/>
      <c r="M1649" s="4"/>
      <c r="N1649" s="4"/>
    </row>
    <row r="1650" spans="11:14">
      <c r="K1650" s="118"/>
      <c r="L1650" s="4"/>
      <c r="M1650" s="4"/>
      <c r="N1650" s="4"/>
    </row>
    <row r="1651" spans="11:14">
      <c r="K1651" s="118"/>
      <c r="L1651" s="4"/>
      <c r="M1651" s="4"/>
      <c r="N1651" s="4"/>
    </row>
    <row r="1652" spans="11:14">
      <c r="K1652" s="118"/>
      <c r="L1652" s="4"/>
      <c r="M1652" s="4"/>
      <c r="N1652" s="4"/>
    </row>
    <row r="1653" spans="11:14">
      <c r="K1653" s="118"/>
      <c r="L1653" s="4"/>
      <c r="M1653" s="4"/>
      <c r="N1653" s="4"/>
    </row>
    <row r="1654" spans="11:14">
      <c r="K1654" s="118"/>
      <c r="L1654" s="4"/>
      <c r="M1654" s="4"/>
      <c r="N1654" s="4"/>
    </row>
    <row r="1655" spans="11:14">
      <c r="K1655" s="118"/>
      <c r="L1655" s="4"/>
      <c r="M1655" s="4"/>
      <c r="N1655" s="4"/>
    </row>
    <row r="1656" spans="11:14">
      <c r="K1656" s="118"/>
      <c r="L1656" s="4"/>
      <c r="M1656" s="4"/>
      <c r="N1656" s="4"/>
    </row>
    <row r="1657" spans="11:14">
      <c r="K1657" s="118"/>
      <c r="L1657" s="4"/>
      <c r="M1657" s="4"/>
      <c r="N1657" s="4"/>
    </row>
    <row r="1658" spans="11:14">
      <c r="K1658" s="118"/>
      <c r="L1658" s="4"/>
      <c r="M1658" s="4"/>
      <c r="N1658" s="4"/>
    </row>
    <row r="1659" spans="11:14">
      <c r="K1659" s="118"/>
      <c r="L1659" s="4"/>
      <c r="M1659" s="4"/>
      <c r="N1659" s="4"/>
    </row>
    <row r="1660" spans="11:14">
      <c r="K1660" s="118"/>
      <c r="L1660" s="4"/>
      <c r="M1660" s="4"/>
      <c r="N1660" s="4"/>
    </row>
    <row r="1661" spans="11:14">
      <c r="K1661" s="118"/>
      <c r="L1661" s="4"/>
      <c r="M1661" s="4"/>
      <c r="N1661" s="4"/>
    </row>
    <row r="1662" spans="11:14">
      <c r="K1662" s="118"/>
      <c r="L1662" s="4"/>
      <c r="M1662" s="4"/>
      <c r="N1662" s="4"/>
    </row>
    <row r="1663" spans="11:14">
      <c r="K1663" s="118"/>
      <c r="L1663" s="4"/>
      <c r="M1663" s="4"/>
      <c r="N1663" s="4"/>
    </row>
    <row r="1664" spans="11:14">
      <c r="K1664" s="118"/>
      <c r="L1664" s="4"/>
      <c r="M1664" s="4"/>
      <c r="N1664" s="4"/>
    </row>
    <row r="1665" spans="11:14">
      <c r="K1665" s="118"/>
      <c r="L1665" s="4"/>
      <c r="M1665" s="4"/>
      <c r="N1665" s="4"/>
    </row>
    <row r="1666" spans="11:14">
      <c r="K1666" s="118"/>
      <c r="L1666" s="4"/>
      <c r="M1666" s="4"/>
      <c r="N1666" s="4"/>
    </row>
    <row r="1667" spans="11:14">
      <c r="K1667" s="118"/>
      <c r="L1667" s="4"/>
      <c r="M1667" s="4"/>
      <c r="N1667" s="4"/>
    </row>
    <row r="1668" spans="11:14">
      <c r="K1668" s="118"/>
      <c r="L1668" s="4"/>
      <c r="M1668" s="4"/>
      <c r="N1668" s="4"/>
    </row>
    <row r="1669" spans="11:14">
      <c r="K1669" s="118"/>
      <c r="L1669" s="4"/>
      <c r="M1669" s="4"/>
      <c r="N1669" s="4"/>
    </row>
    <row r="1670" spans="11:14">
      <c r="K1670" s="118"/>
      <c r="L1670" s="4"/>
      <c r="M1670" s="4"/>
      <c r="N1670" s="4"/>
    </row>
    <row r="1671" spans="11:14">
      <c r="K1671" s="118"/>
      <c r="L1671" s="4"/>
      <c r="M1671" s="4"/>
      <c r="N1671" s="4"/>
    </row>
    <row r="1672" spans="11:14">
      <c r="K1672" s="118"/>
      <c r="L1672" s="4"/>
      <c r="M1672" s="4"/>
      <c r="N1672" s="4"/>
    </row>
    <row r="1673" spans="11:14">
      <c r="K1673" s="118"/>
      <c r="L1673" s="4"/>
      <c r="M1673" s="4"/>
      <c r="N1673" s="4"/>
    </row>
    <row r="1674" spans="11:14">
      <c r="K1674" s="118"/>
      <c r="L1674" s="4"/>
      <c r="M1674" s="4"/>
      <c r="N1674" s="4"/>
    </row>
    <row r="1675" spans="11:14">
      <c r="K1675" s="118"/>
      <c r="L1675" s="4"/>
      <c r="M1675" s="4"/>
      <c r="N1675" s="4"/>
    </row>
    <row r="1676" spans="11:14">
      <c r="K1676" s="118"/>
      <c r="L1676" s="4"/>
      <c r="M1676" s="4"/>
      <c r="N1676" s="4"/>
    </row>
    <row r="1677" spans="11:14">
      <c r="K1677" s="118"/>
      <c r="L1677" s="4"/>
      <c r="M1677" s="4"/>
      <c r="N1677" s="4"/>
    </row>
    <row r="1678" spans="11:14">
      <c r="K1678" s="118"/>
      <c r="L1678" s="4"/>
      <c r="M1678" s="4"/>
      <c r="N1678" s="4"/>
    </row>
    <row r="1679" spans="11:14">
      <c r="K1679" s="118"/>
      <c r="L1679" s="4"/>
      <c r="M1679" s="4"/>
      <c r="N1679" s="4"/>
    </row>
    <row r="1680" spans="11:14">
      <c r="K1680" s="118"/>
      <c r="L1680" s="4"/>
      <c r="M1680" s="4"/>
      <c r="N1680" s="4"/>
    </row>
    <row r="1681" spans="11:14">
      <c r="K1681" s="118"/>
      <c r="L1681" s="4"/>
      <c r="M1681" s="4"/>
      <c r="N1681" s="4"/>
    </row>
    <row r="1682" spans="11:14">
      <c r="K1682" s="118"/>
      <c r="L1682" s="4"/>
      <c r="M1682" s="4"/>
      <c r="N1682" s="4"/>
    </row>
    <row r="1683" spans="11:14">
      <c r="K1683" s="118"/>
      <c r="L1683" s="4"/>
      <c r="M1683" s="4"/>
      <c r="N1683" s="4"/>
    </row>
    <row r="1684" spans="11:14">
      <c r="K1684" s="118"/>
      <c r="L1684" s="4"/>
      <c r="M1684" s="4"/>
      <c r="N1684" s="4"/>
    </row>
    <row r="1685" spans="11:14">
      <c r="K1685" s="118"/>
      <c r="L1685" s="4"/>
      <c r="M1685" s="4"/>
      <c r="N1685" s="4"/>
    </row>
    <row r="1686" spans="11:14">
      <c r="K1686" s="118"/>
      <c r="L1686" s="4"/>
      <c r="M1686" s="4"/>
      <c r="N1686" s="4"/>
    </row>
    <row r="1687" spans="11:14">
      <c r="K1687" s="118"/>
      <c r="L1687" s="4"/>
      <c r="M1687" s="4"/>
      <c r="N1687" s="4"/>
    </row>
    <row r="1688" spans="11:14">
      <c r="K1688" s="118"/>
      <c r="L1688" s="4"/>
      <c r="M1688" s="4"/>
      <c r="N1688" s="4"/>
    </row>
    <row r="1689" spans="11:14">
      <c r="K1689" s="118"/>
      <c r="L1689" s="4"/>
      <c r="M1689" s="4"/>
      <c r="N1689" s="4"/>
    </row>
    <row r="1690" spans="11:14">
      <c r="K1690" s="118"/>
      <c r="L1690" s="4"/>
      <c r="M1690" s="4"/>
      <c r="N1690" s="4"/>
    </row>
    <row r="1691" spans="11:14">
      <c r="K1691" s="118"/>
      <c r="L1691" s="4"/>
      <c r="M1691" s="4"/>
      <c r="N1691" s="4"/>
    </row>
    <row r="1692" spans="11:14">
      <c r="K1692" s="118"/>
      <c r="L1692" s="4"/>
      <c r="M1692" s="4"/>
      <c r="N1692" s="4"/>
    </row>
    <row r="1693" spans="11:14">
      <c r="K1693" s="118"/>
      <c r="L1693" s="4"/>
      <c r="M1693" s="4"/>
      <c r="N1693" s="4"/>
    </row>
    <row r="1694" spans="11:14">
      <c r="K1694" s="118"/>
      <c r="L1694" s="4"/>
      <c r="M1694" s="4"/>
      <c r="N1694" s="4"/>
    </row>
    <row r="1695" spans="11:14">
      <c r="K1695" s="118"/>
      <c r="L1695" s="4"/>
      <c r="M1695" s="4"/>
      <c r="N1695" s="4"/>
    </row>
    <row r="1696" spans="11:14">
      <c r="K1696" s="118"/>
      <c r="L1696" s="4"/>
      <c r="M1696" s="4"/>
      <c r="N1696" s="4"/>
    </row>
    <row r="1697" spans="11:14">
      <c r="K1697" s="118"/>
      <c r="L1697" s="4"/>
      <c r="M1697" s="4"/>
      <c r="N1697" s="4"/>
    </row>
    <row r="1698" spans="11:14">
      <c r="K1698" s="118"/>
      <c r="L1698" s="4"/>
      <c r="M1698" s="4"/>
      <c r="N1698" s="4"/>
    </row>
    <row r="1699" spans="11:14">
      <c r="K1699" s="118"/>
      <c r="L1699" s="4"/>
      <c r="M1699" s="4"/>
      <c r="N1699" s="4"/>
    </row>
    <row r="1700" spans="11:14">
      <c r="K1700" s="118"/>
      <c r="L1700" s="4"/>
      <c r="M1700" s="4"/>
      <c r="N1700" s="4"/>
    </row>
    <row r="1701" spans="11:14">
      <c r="K1701" s="118"/>
      <c r="L1701" s="4"/>
      <c r="M1701" s="4"/>
      <c r="N1701" s="4"/>
    </row>
    <row r="1702" spans="11:14">
      <c r="K1702" s="118"/>
      <c r="L1702" s="4"/>
      <c r="M1702" s="4"/>
      <c r="N1702" s="4"/>
    </row>
    <row r="1703" spans="11:14">
      <c r="K1703" s="118"/>
      <c r="L1703" s="4"/>
      <c r="M1703" s="4"/>
      <c r="N1703" s="4"/>
    </row>
    <row r="1704" spans="11:14">
      <c r="K1704" s="118"/>
      <c r="L1704" s="4"/>
      <c r="M1704" s="4"/>
      <c r="N1704" s="4"/>
    </row>
    <row r="1705" spans="11:14">
      <c r="K1705" s="118"/>
      <c r="L1705" s="4"/>
      <c r="M1705" s="4"/>
      <c r="N1705" s="4"/>
    </row>
    <row r="1706" spans="11:14">
      <c r="K1706" s="118"/>
      <c r="L1706" s="4"/>
      <c r="M1706" s="4"/>
      <c r="N1706" s="4"/>
    </row>
    <row r="1707" spans="11:14">
      <c r="K1707" s="118"/>
      <c r="L1707" s="4"/>
      <c r="M1707" s="4"/>
      <c r="N1707" s="4"/>
    </row>
    <row r="1708" spans="11:14">
      <c r="K1708" s="118"/>
      <c r="L1708" s="4"/>
      <c r="M1708" s="4"/>
      <c r="N1708" s="4"/>
    </row>
    <row r="1709" spans="11:14">
      <c r="K1709" s="118"/>
      <c r="L1709" s="4"/>
      <c r="M1709" s="4"/>
      <c r="N1709" s="4"/>
    </row>
    <row r="1710" spans="11:14">
      <c r="K1710" s="118"/>
      <c r="L1710" s="4"/>
      <c r="M1710" s="4"/>
      <c r="N1710" s="4"/>
    </row>
    <row r="1711" spans="11:14">
      <c r="K1711" s="118"/>
      <c r="L1711" s="4"/>
      <c r="M1711" s="4"/>
      <c r="N1711" s="4"/>
    </row>
    <row r="1712" spans="11:14">
      <c r="K1712" s="118"/>
      <c r="L1712" s="4"/>
      <c r="M1712" s="4"/>
      <c r="N1712" s="4"/>
    </row>
    <row r="1713" spans="11:14">
      <c r="K1713" s="118"/>
      <c r="L1713" s="4"/>
      <c r="M1713" s="4"/>
      <c r="N1713" s="4"/>
    </row>
    <row r="1714" spans="11:14">
      <c r="K1714" s="118"/>
      <c r="L1714" s="4"/>
      <c r="M1714" s="4"/>
      <c r="N1714" s="4"/>
    </row>
    <row r="1715" spans="11:14">
      <c r="K1715" s="118"/>
      <c r="L1715" s="4"/>
      <c r="M1715" s="4"/>
      <c r="N1715" s="4"/>
    </row>
    <row r="1716" spans="11:14">
      <c r="K1716" s="118"/>
      <c r="L1716" s="4"/>
      <c r="M1716" s="4"/>
      <c r="N1716" s="4"/>
    </row>
    <row r="1717" spans="11:14">
      <c r="K1717" s="118"/>
      <c r="L1717" s="4"/>
      <c r="M1717" s="4"/>
      <c r="N1717" s="4"/>
    </row>
    <row r="1718" spans="11:14">
      <c r="K1718" s="118"/>
      <c r="L1718" s="4"/>
      <c r="M1718" s="4"/>
      <c r="N1718" s="4"/>
    </row>
    <row r="1719" spans="11:14">
      <c r="K1719" s="118"/>
      <c r="L1719" s="4"/>
      <c r="M1719" s="4"/>
      <c r="N1719" s="4"/>
    </row>
    <row r="1720" spans="11:14">
      <c r="K1720" s="118"/>
      <c r="L1720" s="4"/>
      <c r="M1720" s="4"/>
      <c r="N1720" s="4"/>
    </row>
    <row r="1721" spans="11:14">
      <c r="K1721" s="118"/>
      <c r="L1721" s="4"/>
      <c r="M1721" s="4"/>
      <c r="N1721" s="4"/>
    </row>
    <row r="1722" spans="11:14">
      <c r="K1722" s="118"/>
      <c r="L1722" s="4"/>
      <c r="M1722" s="4"/>
      <c r="N1722" s="4"/>
    </row>
    <row r="1723" spans="11:14">
      <c r="K1723" s="118"/>
      <c r="L1723" s="4"/>
      <c r="M1723" s="4"/>
      <c r="N1723" s="4"/>
    </row>
    <row r="1724" spans="11:14">
      <c r="K1724" s="118"/>
      <c r="L1724" s="4"/>
      <c r="M1724" s="4"/>
      <c r="N1724" s="4"/>
    </row>
    <row r="1725" spans="11:14">
      <c r="K1725" s="118"/>
      <c r="L1725" s="4"/>
      <c r="M1725" s="4"/>
      <c r="N1725" s="4"/>
    </row>
    <row r="1726" spans="11:14">
      <c r="K1726" s="118"/>
      <c r="L1726" s="4"/>
      <c r="M1726" s="4"/>
      <c r="N1726" s="4"/>
    </row>
    <row r="1727" spans="11:14">
      <c r="K1727" s="118"/>
      <c r="L1727" s="4"/>
      <c r="M1727" s="4"/>
      <c r="N1727" s="4"/>
    </row>
    <row r="1728" spans="11:14">
      <c r="K1728" s="118"/>
      <c r="L1728" s="4"/>
      <c r="M1728" s="4"/>
      <c r="N1728" s="4"/>
    </row>
    <row r="1729" spans="11:14">
      <c r="K1729" s="118"/>
      <c r="L1729" s="4"/>
      <c r="M1729" s="4"/>
      <c r="N1729" s="4"/>
    </row>
    <row r="1730" spans="11:14">
      <c r="K1730" s="118"/>
      <c r="L1730" s="4"/>
      <c r="M1730" s="4"/>
      <c r="N1730" s="4"/>
    </row>
    <row r="1731" spans="11:14">
      <c r="K1731" s="118"/>
      <c r="L1731" s="4"/>
      <c r="M1731" s="4"/>
      <c r="N1731" s="4"/>
    </row>
    <row r="1732" spans="11:14">
      <c r="K1732" s="118"/>
      <c r="L1732" s="4"/>
      <c r="M1732" s="4"/>
      <c r="N1732" s="4"/>
    </row>
    <row r="1733" spans="11:14">
      <c r="K1733" s="118"/>
      <c r="L1733" s="4"/>
      <c r="M1733" s="4"/>
      <c r="N1733" s="4"/>
    </row>
    <row r="1734" spans="11:14">
      <c r="K1734" s="118"/>
      <c r="L1734" s="4"/>
      <c r="M1734" s="4"/>
      <c r="N1734" s="4"/>
    </row>
    <row r="1735" spans="11:14">
      <c r="K1735" s="118"/>
      <c r="L1735" s="4"/>
      <c r="M1735" s="4"/>
      <c r="N1735" s="4"/>
    </row>
    <row r="1736" spans="11:14">
      <c r="K1736" s="118"/>
      <c r="L1736" s="4"/>
      <c r="M1736" s="4"/>
      <c r="N1736" s="4"/>
    </row>
    <row r="1737" spans="11:14">
      <c r="K1737" s="118"/>
      <c r="L1737" s="4"/>
      <c r="M1737" s="4"/>
      <c r="N1737" s="4"/>
    </row>
    <row r="1738" spans="11:14">
      <c r="K1738" s="118"/>
      <c r="L1738" s="4"/>
      <c r="M1738" s="4"/>
      <c r="N1738" s="4"/>
    </row>
    <row r="1739" spans="11:14">
      <c r="K1739" s="118"/>
      <c r="L1739" s="4"/>
      <c r="M1739" s="4"/>
      <c r="N1739" s="4"/>
    </row>
    <row r="1740" spans="11:14">
      <c r="K1740" s="118"/>
      <c r="L1740" s="4"/>
      <c r="M1740" s="4"/>
      <c r="N1740" s="4"/>
    </row>
    <row r="1741" spans="11:14">
      <c r="K1741" s="118"/>
      <c r="L1741" s="4"/>
      <c r="M1741" s="4"/>
      <c r="N1741" s="4"/>
    </row>
    <row r="1742" spans="11:14">
      <c r="K1742" s="118"/>
      <c r="L1742" s="4"/>
      <c r="M1742" s="4"/>
      <c r="N1742" s="4"/>
    </row>
    <row r="1743" spans="11:14">
      <c r="K1743" s="118"/>
      <c r="L1743" s="4"/>
      <c r="M1743" s="4"/>
      <c r="N1743" s="4"/>
    </row>
    <row r="1744" spans="11:14">
      <c r="K1744" s="118"/>
      <c r="L1744" s="4"/>
      <c r="M1744" s="4"/>
      <c r="N1744" s="4"/>
    </row>
    <row r="1745" spans="11:14">
      <c r="K1745" s="118"/>
      <c r="L1745" s="4"/>
      <c r="M1745" s="4"/>
      <c r="N1745" s="4"/>
    </row>
    <row r="1746" spans="11:14">
      <c r="K1746" s="118"/>
      <c r="L1746" s="4"/>
      <c r="M1746" s="4"/>
      <c r="N1746" s="4"/>
    </row>
    <row r="1747" spans="11:14">
      <c r="K1747" s="118"/>
      <c r="L1747" s="4"/>
      <c r="M1747" s="4"/>
      <c r="N1747" s="4"/>
    </row>
    <row r="1748" spans="11:14">
      <c r="K1748" s="118"/>
      <c r="L1748" s="4"/>
      <c r="M1748" s="4"/>
      <c r="N1748" s="4"/>
    </row>
    <row r="1749" spans="11:14">
      <c r="K1749" s="118"/>
      <c r="L1749" s="4"/>
      <c r="M1749" s="4"/>
      <c r="N1749" s="4"/>
    </row>
    <row r="1750" spans="11:14">
      <c r="K1750" s="118"/>
      <c r="L1750" s="4"/>
      <c r="M1750" s="4"/>
      <c r="N1750" s="4"/>
    </row>
    <row r="1751" spans="11:14">
      <c r="K1751" s="118"/>
      <c r="L1751" s="4"/>
      <c r="M1751" s="4"/>
      <c r="N1751" s="4"/>
    </row>
    <row r="1752" spans="11:14">
      <c r="K1752" s="118"/>
      <c r="L1752" s="4"/>
      <c r="M1752" s="4"/>
      <c r="N1752" s="4"/>
    </row>
    <row r="1753" spans="11:14">
      <c r="K1753" s="118"/>
      <c r="L1753" s="4"/>
      <c r="M1753" s="4"/>
      <c r="N1753" s="4"/>
    </row>
    <row r="1754" spans="11:14">
      <c r="K1754" s="118"/>
      <c r="L1754" s="4"/>
      <c r="M1754" s="4"/>
      <c r="N1754" s="4"/>
    </row>
    <row r="1755" spans="11:14">
      <c r="K1755" s="118"/>
      <c r="L1755" s="4"/>
      <c r="M1755" s="4"/>
      <c r="N1755" s="4"/>
    </row>
    <row r="1756" spans="11:14">
      <c r="K1756" s="118"/>
      <c r="L1756" s="4"/>
      <c r="M1756" s="4"/>
      <c r="N1756" s="4"/>
    </row>
    <row r="1757" spans="11:14">
      <c r="K1757" s="118"/>
      <c r="L1757" s="4"/>
      <c r="M1757" s="4"/>
      <c r="N1757" s="4"/>
    </row>
    <row r="1758" spans="11:14">
      <c r="K1758" s="118"/>
      <c r="L1758" s="4"/>
      <c r="M1758" s="4"/>
      <c r="N1758" s="4"/>
    </row>
    <row r="1759" spans="11:14">
      <c r="K1759" s="118"/>
      <c r="L1759" s="4"/>
      <c r="M1759" s="4"/>
      <c r="N1759" s="4"/>
    </row>
    <row r="1760" spans="11:14">
      <c r="K1760" s="118"/>
      <c r="L1760" s="4"/>
      <c r="M1760" s="4"/>
      <c r="N1760" s="4"/>
    </row>
    <row r="1761" spans="11:14">
      <c r="K1761" s="118"/>
      <c r="L1761" s="4"/>
      <c r="M1761" s="4"/>
      <c r="N1761" s="4"/>
    </row>
    <row r="1762" spans="11:14">
      <c r="K1762" s="118"/>
      <c r="L1762" s="4"/>
      <c r="M1762" s="4"/>
      <c r="N1762" s="4"/>
    </row>
    <row r="1763" spans="11:14">
      <c r="K1763" s="118"/>
      <c r="L1763" s="4"/>
      <c r="M1763" s="4"/>
      <c r="N1763" s="4"/>
    </row>
    <row r="1764" spans="11:14">
      <c r="K1764" s="118"/>
      <c r="L1764" s="4"/>
      <c r="M1764" s="4"/>
      <c r="N1764" s="4"/>
    </row>
    <row r="1765" spans="11:14">
      <c r="K1765" s="118"/>
      <c r="L1765" s="4"/>
      <c r="M1765" s="4"/>
      <c r="N1765" s="4"/>
    </row>
    <row r="1766" spans="11:14">
      <c r="K1766" s="118"/>
      <c r="L1766" s="4"/>
      <c r="M1766" s="4"/>
      <c r="N1766" s="4"/>
    </row>
    <row r="1767" spans="11:14">
      <c r="K1767" s="118"/>
      <c r="L1767" s="4"/>
      <c r="M1767" s="4"/>
      <c r="N1767" s="4"/>
    </row>
    <row r="1768" spans="11:14">
      <c r="K1768" s="118"/>
      <c r="L1768" s="4"/>
      <c r="M1768" s="4"/>
      <c r="N1768" s="4"/>
    </row>
    <row r="1769" spans="11:14">
      <c r="K1769" s="118"/>
      <c r="L1769" s="4"/>
      <c r="M1769" s="4"/>
      <c r="N1769" s="4"/>
    </row>
    <row r="1770" spans="11:14">
      <c r="K1770" s="118"/>
      <c r="L1770" s="4"/>
      <c r="M1770" s="4"/>
      <c r="N1770" s="4"/>
    </row>
    <row r="1771" spans="11:14">
      <c r="K1771" s="118"/>
      <c r="L1771" s="4"/>
      <c r="M1771" s="4"/>
      <c r="N1771" s="4"/>
    </row>
    <row r="1772" spans="11:14">
      <c r="K1772" s="118"/>
      <c r="L1772" s="4"/>
      <c r="M1772" s="4"/>
      <c r="N1772" s="4"/>
    </row>
    <row r="1773" spans="11:14">
      <c r="K1773" s="118"/>
      <c r="L1773" s="4"/>
      <c r="M1773" s="4"/>
      <c r="N1773" s="4"/>
    </row>
    <row r="1774" spans="11:14">
      <c r="K1774" s="118"/>
      <c r="L1774" s="4"/>
      <c r="M1774" s="4"/>
      <c r="N1774" s="4"/>
    </row>
    <row r="1775" spans="11:14">
      <c r="K1775" s="118"/>
      <c r="L1775" s="4"/>
      <c r="M1775" s="4"/>
      <c r="N1775" s="4"/>
    </row>
    <row r="1776" spans="11:14">
      <c r="K1776" s="118"/>
      <c r="L1776" s="4"/>
      <c r="M1776" s="4"/>
      <c r="N1776" s="4"/>
    </row>
    <row r="1777" spans="11:14">
      <c r="K1777" s="118"/>
      <c r="L1777" s="4"/>
      <c r="M1777" s="4"/>
      <c r="N1777" s="4"/>
    </row>
    <row r="1778" spans="11:14">
      <c r="K1778" s="118"/>
      <c r="L1778" s="4"/>
      <c r="M1778" s="4"/>
      <c r="N1778" s="4"/>
    </row>
    <row r="1779" spans="11:14">
      <c r="K1779" s="118"/>
      <c r="L1779" s="4"/>
      <c r="M1779" s="4"/>
      <c r="N1779" s="4"/>
    </row>
    <row r="1780" spans="11:14">
      <c r="K1780" s="118"/>
      <c r="L1780" s="4"/>
      <c r="M1780" s="4"/>
      <c r="N1780" s="4"/>
    </row>
    <row r="1781" spans="11:14">
      <c r="K1781" s="118"/>
      <c r="L1781" s="4"/>
      <c r="M1781" s="4"/>
      <c r="N1781" s="4"/>
    </row>
    <row r="1782" spans="11:14">
      <c r="K1782" s="118"/>
      <c r="L1782" s="4"/>
      <c r="M1782" s="4"/>
      <c r="N1782" s="4"/>
    </row>
    <row r="1783" spans="11:14">
      <c r="K1783" s="118"/>
      <c r="L1783" s="4"/>
      <c r="M1783" s="4"/>
      <c r="N1783" s="4"/>
    </row>
    <row r="1784" spans="11:14">
      <c r="K1784" s="118"/>
      <c r="L1784" s="4"/>
      <c r="M1784" s="4"/>
      <c r="N1784" s="4"/>
    </row>
    <row r="1785" spans="11:14">
      <c r="K1785" s="118"/>
      <c r="L1785" s="4"/>
      <c r="M1785" s="4"/>
      <c r="N1785" s="4"/>
    </row>
    <row r="1786" spans="11:14">
      <c r="K1786" s="118"/>
      <c r="L1786" s="4"/>
      <c r="M1786" s="4"/>
      <c r="N1786" s="4"/>
    </row>
    <row r="1787" spans="11:14">
      <c r="K1787" s="118"/>
      <c r="L1787" s="4"/>
      <c r="M1787" s="4"/>
      <c r="N1787" s="4"/>
    </row>
    <row r="1788" spans="11:14">
      <c r="K1788" s="118"/>
      <c r="L1788" s="4"/>
      <c r="M1788" s="4"/>
      <c r="N1788" s="4"/>
    </row>
    <row r="1789" spans="11:14">
      <c r="K1789" s="118"/>
      <c r="L1789" s="4"/>
      <c r="M1789" s="4"/>
      <c r="N1789" s="4"/>
    </row>
    <row r="1790" spans="11:14">
      <c r="K1790" s="118"/>
      <c r="L1790" s="4"/>
      <c r="M1790" s="4"/>
      <c r="N1790" s="4"/>
    </row>
    <row r="1791" spans="11:14">
      <c r="K1791" s="118"/>
      <c r="L1791" s="4"/>
      <c r="M1791" s="4"/>
      <c r="N1791" s="4"/>
    </row>
    <row r="1792" spans="11:14">
      <c r="K1792" s="118"/>
      <c r="L1792" s="4"/>
      <c r="M1792" s="4"/>
      <c r="N1792" s="4"/>
    </row>
    <row r="1793" spans="11:14">
      <c r="K1793" s="118"/>
      <c r="L1793" s="4"/>
      <c r="M1793" s="4"/>
      <c r="N1793" s="4"/>
    </row>
    <row r="1794" spans="11:14">
      <c r="K1794" s="118"/>
      <c r="L1794" s="4"/>
      <c r="M1794" s="4"/>
      <c r="N1794" s="4"/>
    </row>
    <row r="1795" spans="11:14">
      <c r="K1795" s="118"/>
      <c r="L1795" s="4"/>
      <c r="M1795" s="4"/>
      <c r="N1795" s="4"/>
    </row>
    <row r="1796" spans="11:14">
      <c r="K1796" s="118"/>
      <c r="L1796" s="4"/>
      <c r="M1796" s="4"/>
      <c r="N1796" s="4"/>
    </row>
    <row r="1797" spans="11:14">
      <c r="K1797" s="118"/>
      <c r="L1797" s="4"/>
      <c r="M1797" s="4"/>
      <c r="N1797" s="4"/>
    </row>
    <row r="1798" spans="11:14">
      <c r="K1798" s="118"/>
      <c r="L1798" s="4"/>
      <c r="M1798" s="4"/>
      <c r="N1798" s="4"/>
    </row>
    <row r="1799" spans="11:14">
      <c r="K1799" s="118"/>
      <c r="L1799" s="4"/>
      <c r="M1799" s="4"/>
      <c r="N1799" s="4"/>
    </row>
    <row r="1800" spans="11:14">
      <c r="K1800" s="118"/>
      <c r="L1800" s="4"/>
      <c r="M1800" s="4"/>
      <c r="N1800" s="4"/>
    </row>
    <row r="1801" spans="11:14">
      <c r="K1801" s="118"/>
      <c r="L1801" s="4"/>
      <c r="M1801" s="4"/>
      <c r="N1801" s="4"/>
    </row>
    <row r="1802" spans="11:14">
      <c r="K1802" s="118"/>
      <c r="L1802" s="4"/>
      <c r="M1802" s="4"/>
      <c r="N1802" s="4"/>
    </row>
    <row r="1803" spans="11:14">
      <c r="K1803" s="118"/>
      <c r="L1803" s="4"/>
      <c r="M1803" s="4"/>
      <c r="N1803" s="4"/>
    </row>
    <row r="1804" spans="11:14">
      <c r="K1804" s="118"/>
      <c r="L1804" s="4"/>
      <c r="M1804" s="4"/>
      <c r="N1804" s="4"/>
    </row>
    <row r="1805" spans="11:14">
      <c r="K1805" s="118"/>
      <c r="L1805" s="4"/>
      <c r="M1805" s="4"/>
      <c r="N1805" s="4"/>
    </row>
    <row r="1806" spans="11:14">
      <c r="K1806" s="118"/>
      <c r="L1806" s="4"/>
      <c r="M1806" s="4"/>
      <c r="N1806" s="4"/>
    </row>
    <row r="1807" spans="11:14">
      <c r="K1807" s="118"/>
      <c r="L1807" s="4"/>
      <c r="M1807" s="4"/>
      <c r="N1807" s="4"/>
    </row>
    <row r="1808" spans="11:14">
      <c r="K1808" s="118"/>
      <c r="L1808" s="4"/>
      <c r="M1808" s="4"/>
      <c r="N1808" s="4"/>
    </row>
    <row r="1809" spans="11:14">
      <c r="K1809" s="118"/>
      <c r="L1809" s="4"/>
      <c r="M1809" s="4"/>
      <c r="N1809" s="4"/>
    </row>
    <row r="1810" spans="11:14">
      <c r="K1810" s="118"/>
      <c r="L1810" s="4"/>
      <c r="M1810" s="4"/>
      <c r="N1810" s="4"/>
    </row>
    <row r="1811" spans="11:14">
      <c r="K1811" s="118"/>
      <c r="L1811" s="4"/>
      <c r="M1811" s="4"/>
      <c r="N1811" s="4"/>
    </row>
    <row r="1812" spans="11:14">
      <c r="K1812" s="118"/>
      <c r="L1812" s="4"/>
      <c r="M1812" s="4"/>
      <c r="N1812" s="4"/>
    </row>
    <row r="1813" spans="11:14">
      <c r="K1813" s="118"/>
      <c r="L1813" s="4"/>
      <c r="M1813" s="4"/>
      <c r="N1813" s="4"/>
    </row>
    <row r="1814" spans="11:14">
      <c r="K1814" s="118"/>
      <c r="L1814" s="4"/>
      <c r="M1814" s="4"/>
      <c r="N1814" s="4"/>
    </row>
    <row r="1815" spans="11:14">
      <c r="K1815" s="118"/>
      <c r="L1815" s="4"/>
      <c r="M1815" s="4"/>
      <c r="N1815" s="4"/>
    </row>
    <row r="1816" spans="11:14">
      <c r="K1816" s="118"/>
      <c r="L1816" s="4"/>
      <c r="M1816" s="4"/>
      <c r="N1816" s="4"/>
    </row>
    <row r="1817" spans="11:14">
      <c r="K1817" s="118"/>
      <c r="L1817" s="4"/>
      <c r="M1817" s="4"/>
      <c r="N1817" s="4"/>
    </row>
    <row r="1818" spans="11:14">
      <c r="K1818" s="118"/>
      <c r="L1818" s="4"/>
      <c r="M1818" s="4"/>
      <c r="N1818" s="4"/>
    </row>
    <row r="1819" spans="11:14">
      <c r="K1819" s="118"/>
      <c r="L1819" s="4"/>
      <c r="M1819" s="4"/>
      <c r="N1819" s="4"/>
    </row>
    <row r="1820" spans="11:14">
      <c r="K1820" s="118"/>
      <c r="L1820" s="4"/>
      <c r="M1820" s="4"/>
      <c r="N1820" s="4"/>
    </row>
    <row r="1821" spans="11:14">
      <c r="K1821" s="118"/>
      <c r="L1821" s="4"/>
      <c r="M1821" s="4"/>
      <c r="N1821" s="4"/>
    </row>
    <row r="1822" spans="11:14">
      <c r="K1822" s="118"/>
      <c r="L1822" s="4"/>
      <c r="M1822" s="4"/>
      <c r="N1822" s="4"/>
    </row>
    <row r="1823" spans="11:14">
      <c r="K1823" s="118"/>
      <c r="L1823" s="4"/>
      <c r="M1823" s="4"/>
      <c r="N1823" s="4"/>
    </row>
    <row r="1824" spans="11:14">
      <c r="K1824" s="118"/>
      <c r="L1824" s="4"/>
      <c r="M1824" s="4"/>
      <c r="N1824" s="4"/>
    </row>
    <row r="1825" spans="11:14">
      <c r="K1825" s="118"/>
      <c r="L1825" s="4"/>
      <c r="M1825" s="4"/>
      <c r="N1825" s="4"/>
    </row>
    <row r="1826" spans="11:14">
      <c r="K1826" s="118"/>
      <c r="L1826" s="4"/>
      <c r="M1826" s="4"/>
      <c r="N1826" s="4"/>
    </row>
    <row r="1827" spans="11:14">
      <c r="K1827" s="118"/>
      <c r="L1827" s="4"/>
      <c r="M1827" s="4"/>
      <c r="N1827" s="4"/>
    </row>
    <row r="1828" spans="11:14">
      <c r="K1828" s="118"/>
      <c r="L1828" s="4"/>
      <c r="M1828" s="4"/>
      <c r="N1828" s="4"/>
    </row>
    <row r="1829" spans="11:14">
      <c r="K1829" s="118"/>
      <c r="L1829" s="4"/>
      <c r="M1829" s="4"/>
      <c r="N1829" s="4"/>
    </row>
    <row r="1830" spans="11:14">
      <c r="K1830" s="118"/>
      <c r="L1830" s="4"/>
      <c r="M1830" s="4"/>
      <c r="N1830" s="4"/>
    </row>
    <row r="1831" spans="11:14">
      <c r="K1831" s="118"/>
      <c r="L1831" s="4"/>
      <c r="M1831" s="4"/>
      <c r="N1831" s="4"/>
    </row>
    <row r="1832" spans="11:14">
      <c r="K1832" s="118"/>
      <c r="L1832" s="4"/>
      <c r="M1832" s="4"/>
      <c r="N1832" s="4"/>
    </row>
    <row r="1833" spans="11:14">
      <c r="K1833" s="118"/>
      <c r="L1833" s="4"/>
      <c r="M1833" s="4"/>
      <c r="N1833" s="4"/>
    </row>
    <row r="1834" spans="11:14">
      <c r="K1834" s="118"/>
      <c r="L1834" s="4"/>
      <c r="M1834" s="4"/>
      <c r="N1834" s="4"/>
    </row>
    <row r="1835" spans="11:14">
      <c r="K1835" s="118"/>
      <c r="L1835" s="4"/>
      <c r="M1835" s="4"/>
      <c r="N1835" s="4"/>
    </row>
    <row r="1836" spans="11:14">
      <c r="K1836" s="118"/>
      <c r="L1836" s="4"/>
      <c r="M1836" s="4"/>
      <c r="N1836" s="4"/>
    </row>
    <row r="1837" spans="11:14">
      <c r="K1837" s="118"/>
      <c r="L1837" s="4"/>
      <c r="M1837" s="4"/>
      <c r="N1837" s="4"/>
    </row>
    <row r="1838" spans="11:14">
      <c r="K1838" s="118"/>
      <c r="L1838" s="4"/>
      <c r="M1838" s="4"/>
      <c r="N1838" s="4"/>
    </row>
    <row r="1839" spans="11:14">
      <c r="K1839" s="118"/>
      <c r="L1839" s="4"/>
      <c r="M1839" s="4"/>
      <c r="N1839" s="4"/>
    </row>
    <row r="1840" spans="11:14">
      <c r="K1840" s="118"/>
      <c r="L1840" s="4"/>
      <c r="M1840" s="4"/>
      <c r="N1840" s="4"/>
    </row>
    <row r="1841" spans="11:14">
      <c r="K1841" s="118"/>
      <c r="L1841" s="4"/>
      <c r="M1841" s="4"/>
      <c r="N1841" s="4"/>
    </row>
    <row r="1842" spans="11:14">
      <c r="K1842" s="118"/>
      <c r="L1842" s="4"/>
      <c r="M1842" s="4"/>
      <c r="N1842" s="4"/>
    </row>
    <row r="1843" spans="11:14">
      <c r="K1843" s="118"/>
      <c r="L1843" s="4"/>
      <c r="M1843" s="4"/>
      <c r="N1843" s="4"/>
    </row>
    <row r="1844" spans="11:14">
      <c r="K1844" s="118"/>
      <c r="L1844" s="4"/>
      <c r="M1844" s="4"/>
      <c r="N1844" s="4"/>
    </row>
    <row r="1845" spans="11:14">
      <c r="K1845" s="118"/>
      <c r="L1845" s="4"/>
      <c r="M1845" s="4"/>
      <c r="N1845" s="4"/>
    </row>
    <row r="1846" spans="11:14">
      <c r="K1846" s="118"/>
      <c r="L1846" s="4"/>
      <c r="M1846" s="4"/>
      <c r="N1846" s="4"/>
    </row>
    <row r="1847" spans="11:14">
      <c r="K1847" s="118"/>
      <c r="L1847" s="4"/>
      <c r="M1847" s="4"/>
      <c r="N1847" s="4"/>
    </row>
    <row r="1848" spans="11:14">
      <c r="K1848" s="118"/>
      <c r="L1848" s="4"/>
      <c r="M1848" s="4"/>
      <c r="N1848" s="4"/>
    </row>
    <row r="1849" spans="11:14">
      <c r="K1849" s="118"/>
      <c r="L1849" s="4"/>
      <c r="M1849" s="4"/>
      <c r="N1849" s="4"/>
    </row>
    <row r="1850" spans="11:14">
      <c r="K1850" s="118"/>
      <c r="L1850" s="4"/>
      <c r="M1850" s="4"/>
      <c r="N1850" s="4"/>
    </row>
    <row r="1851" spans="11:14">
      <c r="K1851" s="118"/>
      <c r="L1851" s="4"/>
      <c r="M1851" s="4"/>
      <c r="N1851" s="4"/>
    </row>
    <row r="1852" spans="11:14">
      <c r="K1852" s="118"/>
      <c r="L1852" s="4"/>
      <c r="M1852" s="4"/>
      <c r="N1852" s="4"/>
    </row>
    <row r="1853" spans="11:14">
      <c r="K1853" s="118"/>
      <c r="L1853" s="4"/>
      <c r="M1853" s="4"/>
      <c r="N1853" s="4"/>
    </row>
    <row r="1854" spans="11:14">
      <c r="K1854" s="118"/>
      <c r="L1854" s="4"/>
      <c r="M1854" s="4"/>
      <c r="N1854" s="4"/>
    </row>
    <row r="1855" spans="11:14">
      <c r="K1855" s="118"/>
      <c r="L1855" s="4"/>
      <c r="M1855" s="4"/>
      <c r="N1855" s="4"/>
    </row>
    <row r="1856" spans="11:14">
      <c r="K1856" s="118"/>
      <c r="L1856" s="4"/>
      <c r="M1856" s="4"/>
      <c r="N1856" s="4"/>
    </row>
    <row r="1857" spans="11:14">
      <c r="K1857" s="118"/>
      <c r="L1857" s="4"/>
      <c r="M1857" s="4"/>
      <c r="N1857" s="4"/>
    </row>
    <row r="1858" spans="11:14">
      <c r="K1858" s="118"/>
      <c r="L1858" s="4"/>
      <c r="M1858" s="4"/>
      <c r="N1858" s="4"/>
    </row>
    <row r="1859" spans="11:14">
      <c r="K1859" s="118"/>
      <c r="L1859" s="4"/>
      <c r="M1859" s="4"/>
      <c r="N1859" s="4"/>
    </row>
    <row r="1860" spans="11:14">
      <c r="K1860" s="118"/>
      <c r="L1860" s="4"/>
      <c r="M1860" s="4"/>
      <c r="N1860" s="4"/>
    </row>
    <row r="1861" spans="11:14">
      <c r="K1861" s="118"/>
      <c r="L1861" s="4"/>
      <c r="M1861" s="4"/>
      <c r="N1861" s="4"/>
    </row>
    <row r="1862" spans="11:14">
      <c r="K1862" s="118"/>
      <c r="L1862" s="4"/>
      <c r="M1862" s="4"/>
      <c r="N1862" s="4"/>
    </row>
    <row r="1863" spans="11:14">
      <c r="K1863" s="118"/>
      <c r="L1863" s="4"/>
      <c r="M1863" s="4"/>
      <c r="N1863" s="4"/>
    </row>
    <row r="1864" spans="11:14">
      <c r="K1864" s="118"/>
      <c r="L1864" s="4"/>
      <c r="M1864" s="4"/>
      <c r="N1864" s="4"/>
    </row>
    <row r="1865" spans="11:14">
      <c r="K1865" s="118"/>
      <c r="L1865" s="4"/>
      <c r="M1865" s="4"/>
      <c r="N1865" s="4"/>
    </row>
    <row r="1866" spans="11:14">
      <c r="K1866" s="118"/>
      <c r="L1866" s="4"/>
      <c r="M1866" s="4"/>
      <c r="N1866" s="4"/>
    </row>
    <row r="1867" spans="11:14">
      <c r="K1867" s="118"/>
      <c r="L1867" s="4"/>
      <c r="M1867" s="4"/>
      <c r="N1867" s="4"/>
    </row>
    <row r="1868" spans="11:14">
      <c r="K1868" s="118"/>
      <c r="L1868" s="4"/>
      <c r="M1868" s="4"/>
      <c r="N1868" s="4"/>
    </row>
    <row r="1869" spans="11:14">
      <c r="K1869" s="118"/>
      <c r="L1869" s="4"/>
      <c r="M1869" s="4"/>
      <c r="N1869" s="4"/>
    </row>
    <row r="1870" spans="11:14">
      <c r="K1870" s="118"/>
      <c r="L1870" s="4"/>
      <c r="M1870" s="4"/>
      <c r="N1870" s="4"/>
    </row>
    <row r="1871" spans="11:14">
      <c r="K1871" s="118"/>
      <c r="L1871" s="4"/>
      <c r="M1871" s="4"/>
      <c r="N1871" s="4"/>
    </row>
    <row r="1872" spans="11:14">
      <c r="K1872" s="118"/>
      <c r="L1872" s="4"/>
      <c r="M1872" s="4"/>
      <c r="N1872" s="4"/>
    </row>
    <row r="1873" spans="11:14">
      <c r="K1873" s="118"/>
      <c r="L1873" s="4"/>
      <c r="M1873" s="4"/>
      <c r="N1873" s="4"/>
    </row>
    <row r="1874" spans="11:14">
      <c r="K1874" s="118"/>
      <c r="L1874" s="4"/>
      <c r="M1874" s="4"/>
      <c r="N1874" s="4"/>
    </row>
    <row r="1875" spans="11:14">
      <c r="K1875" s="118"/>
      <c r="L1875" s="4"/>
      <c r="M1875" s="4"/>
      <c r="N1875" s="4"/>
    </row>
    <row r="1876" spans="11:14">
      <c r="K1876" s="118"/>
      <c r="L1876" s="4"/>
      <c r="M1876" s="4"/>
      <c r="N1876" s="4"/>
    </row>
    <row r="1877" spans="11:14">
      <c r="K1877" s="118"/>
      <c r="L1877" s="4"/>
      <c r="M1877" s="4"/>
      <c r="N1877" s="4"/>
    </row>
    <row r="1878" spans="11:14">
      <c r="K1878" s="118"/>
      <c r="L1878" s="4"/>
      <c r="M1878" s="4"/>
      <c r="N1878" s="4"/>
    </row>
    <row r="1879" spans="11:14">
      <c r="K1879" s="118"/>
      <c r="L1879" s="4"/>
      <c r="M1879" s="4"/>
      <c r="N1879" s="4"/>
    </row>
    <row r="1880" spans="11:14">
      <c r="K1880" s="118"/>
      <c r="L1880" s="4"/>
      <c r="M1880" s="4"/>
      <c r="N1880" s="4"/>
    </row>
    <row r="1881" spans="11:14">
      <c r="K1881" s="118"/>
      <c r="L1881" s="4"/>
      <c r="M1881" s="4"/>
      <c r="N1881" s="4"/>
    </row>
    <row r="1882" spans="11:14">
      <c r="K1882" s="118"/>
      <c r="L1882" s="4"/>
      <c r="M1882" s="4"/>
      <c r="N1882" s="4"/>
    </row>
    <row r="1883" spans="11:14">
      <c r="K1883" s="118"/>
      <c r="L1883" s="4"/>
      <c r="M1883" s="4"/>
      <c r="N1883" s="4"/>
    </row>
    <row r="1884" spans="11:14">
      <c r="K1884" s="118"/>
      <c r="L1884" s="4"/>
      <c r="M1884" s="4"/>
      <c r="N1884" s="4"/>
    </row>
    <row r="1885" spans="11:14">
      <c r="K1885" s="118"/>
      <c r="L1885" s="4"/>
      <c r="M1885" s="4"/>
      <c r="N1885" s="4"/>
    </row>
    <row r="1886" spans="11:14">
      <c r="K1886" s="118"/>
      <c r="L1886" s="4"/>
      <c r="M1886" s="4"/>
      <c r="N1886" s="4"/>
    </row>
    <row r="1887" spans="11:14">
      <c r="K1887" s="118"/>
      <c r="L1887" s="4"/>
      <c r="M1887" s="4"/>
      <c r="N1887" s="4"/>
    </row>
    <row r="1888" spans="11:14">
      <c r="K1888" s="118"/>
      <c r="L1888" s="4"/>
      <c r="M1888" s="4"/>
      <c r="N1888" s="4"/>
    </row>
    <row r="1889" spans="11:14">
      <c r="K1889" s="118"/>
      <c r="L1889" s="4"/>
      <c r="M1889" s="4"/>
      <c r="N1889" s="4"/>
    </row>
    <row r="1890" spans="11:14">
      <c r="K1890" s="118"/>
      <c r="L1890" s="4"/>
      <c r="M1890" s="4"/>
      <c r="N1890" s="4"/>
    </row>
    <row r="1891" spans="11:14">
      <c r="K1891" s="118"/>
      <c r="L1891" s="4"/>
      <c r="M1891" s="4"/>
      <c r="N1891" s="4"/>
    </row>
    <row r="1892" spans="11:14">
      <c r="K1892" s="118"/>
      <c r="L1892" s="4"/>
      <c r="M1892" s="4"/>
      <c r="N1892" s="4"/>
    </row>
    <row r="1893" spans="11:14">
      <c r="K1893" s="118"/>
      <c r="L1893" s="4"/>
      <c r="M1893" s="4"/>
      <c r="N1893" s="4"/>
    </row>
    <row r="1894" spans="11:14">
      <c r="K1894" s="118"/>
      <c r="L1894" s="4"/>
      <c r="M1894" s="4"/>
      <c r="N1894" s="4"/>
    </row>
    <row r="1895" spans="11:14">
      <c r="K1895" s="118"/>
      <c r="L1895" s="4"/>
      <c r="M1895" s="4"/>
      <c r="N1895" s="4"/>
    </row>
    <row r="1896" spans="11:14">
      <c r="K1896" s="118"/>
      <c r="L1896" s="4"/>
      <c r="M1896" s="4"/>
      <c r="N1896" s="4"/>
    </row>
    <row r="1897" spans="11:14">
      <c r="K1897" s="118"/>
      <c r="L1897" s="4"/>
      <c r="M1897" s="4"/>
      <c r="N1897" s="4"/>
    </row>
    <row r="1898" spans="11:14">
      <c r="K1898" s="118"/>
      <c r="L1898" s="4"/>
      <c r="M1898" s="4"/>
      <c r="N1898" s="4"/>
    </row>
    <row r="1899" spans="11:14">
      <c r="K1899" s="118"/>
      <c r="L1899" s="4"/>
      <c r="M1899" s="4"/>
      <c r="N1899" s="4"/>
    </row>
    <row r="1900" spans="11:14">
      <c r="K1900" s="118"/>
      <c r="L1900" s="4"/>
      <c r="M1900" s="4"/>
      <c r="N1900" s="4"/>
    </row>
    <row r="1901" spans="11:14">
      <c r="K1901" s="118"/>
      <c r="L1901" s="4"/>
      <c r="M1901" s="4"/>
      <c r="N1901" s="4"/>
    </row>
    <row r="1902" spans="11:14">
      <c r="K1902" s="118"/>
      <c r="L1902" s="4"/>
      <c r="M1902" s="4"/>
      <c r="N1902" s="4"/>
    </row>
    <row r="1903" spans="11:14">
      <c r="K1903" s="118"/>
      <c r="L1903" s="4"/>
      <c r="M1903" s="4"/>
      <c r="N1903" s="4"/>
    </row>
    <row r="1904" spans="11:14">
      <c r="K1904" s="118"/>
      <c r="L1904" s="4"/>
      <c r="M1904" s="4"/>
      <c r="N1904" s="4"/>
    </row>
    <row r="1905" spans="11:14">
      <c r="K1905" s="118"/>
      <c r="L1905" s="4"/>
      <c r="M1905" s="4"/>
      <c r="N1905" s="4"/>
    </row>
    <row r="1906" spans="11:14">
      <c r="K1906" s="118"/>
      <c r="L1906" s="4"/>
      <c r="M1906" s="4"/>
      <c r="N1906" s="4"/>
    </row>
    <row r="1907" spans="11:14">
      <c r="K1907" s="118"/>
      <c r="L1907" s="4"/>
      <c r="M1907" s="4"/>
      <c r="N1907" s="4"/>
    </row>
    <row r="1908" spans="11:14">
      <c r="K1908" s="118"/>
      <c r="L1908" s="4"/>
      <c r="M1908" s="4"/>
      <c r="N1908" s="4"/>
    </row>
    <row r="1909" spans="11:14">
      <c r="K1909" s="118"/>
      <c r="L1909" s="4"/>
      <c r="M1909" s="4"/>
      <c r="N1909" s="4"/>
    </row>
    <row r="1910" spans="11:14">
      <c r="K1910" s="118"/>
      <c r="L1910" s="4"/>
      <c r="M1910" s="4"/>
      <c r="N1910" s="4"/>
    </row>
    <row r="1911" spans="11:14">
      <c r="K1911" s="118"/>
      <c r="L1911" s="4"/>
      <c r="M1911" s="4"/>
      <c r="N1911" s="4"/>
    </row>
    <row r="1912" spans="11:14">
      <c r="K1912" s="118"/>
      <c r="L1912" s="4"/>
      <c r="M1912" s="4"/>
      <c r="N1912" s="4"/>
    </row>
    <row r="1913" spans="11:14">
      <c r="K1913" s="118"/>
      <c r="L1913" s="4"/>
      <c r="M1913" s="4"/>
      <c r="N1913" s="4"/>
    </row>
    <row r="1914" spans="11:14">
      <c r="K1914" s="118"/>
      <c r="L1914" s="4"/>
      <c r="M1914" s="4"/>
      <c r="N1914" s="4"/>
    </row>
    <row r="1915" spans="11:14">
      <c r="K1915" s="118"/>
      <c r="L1915" s="4"/>
      <c r="M1915" s="4"/>
      <c r="N1915" s="4"/>
    </row>
    <row r="1916" spans="11:14">
      <c r="K1916" s="118"/>
      <c r="L1916" s="4"/>
      <c r="M1916" s="4"/>
      <c r="N1916" s="4"/>
    </row>
    <row r="1917" spans="11:14">
      <c r="K1917" s="118"/>
      <c r="L1917" s="4"/>
      <c r="M1917" s="4"/>
      <c r="N1917" s="4"/>
    </row>
    <row r="1918" spans="11:14">
      <c r="K1918" s="118"/>
      <c r="L1918" s="4"/>
      <c r="M1918" s="4"/>
      <c r="N1918" s="4"/>
    </row>
    <row r="1919" spans="11:14">
      <c r="K1919" s="118"/>
      <c r="L1919" s="4"/>
      <c r="M1919" s="4"/>
      <c r="N1919" s="4"/>
    </row>
    <row r="1920" spans="11:14">
      <c r="K1920" s="118"/>
      <c r="L1920" s="4"/>
      <c r="M1920" s="4"/>
      <c r="N1920" s="4"/>
    </row>
    <row r="1921" spans="11:14">
      <c r="K1921" s="118"/>
      <c r="L1921" s="4"/>
      <c r="M1921" s="4"/>
      <c r="N1921" s="4"/>
    </row>
    <row r="1922" spans="11:14">
      <c r="K1922" s="118"/>
      <c r="L1922" s="4"/>
      <c r="M1922" s="4"/>
      <c r="N1922" s="4"/>
    </row>
    <row r="1923" spans="11:14">
      <c r="K1923" s="118"/>
      <c r="L1923" s="4"/>
      <c r="M1923" s="4"/>
      <c r="N1923" s="4"/>
    </row>
    <row r="1924" spans="11:14">
      <c r="K1924" s="118"/>
      <c r="L1924" s="4"/>
      <c r="M1924" s="4"/>
      <c r="N1924" s="4"/>
    </row>
    <row r="1925" spans="11:14">
      <c r="K1925" s="118"/>
      <c r="L1925" s="4"/>
      <c r="M1925" s="4"/>
      <c r="N1925" s="4"/>
    </row>
  </sheetData>
  <sheetProtection formatCells="0" formatColumns="0" formatRows="0" insertColumns="0" insertRows="0" insertHyperlinks="0" deleteColumns="0" deleteRows="0" selectLockedCells="1" sort="0" autoFilter="0" pivotTables="0"/>
  <autoFilter ref="C14:H545">
    <filterColumn colId="3"/>
  </autoFilter>
  <mergeCells count="1">
    <mergeCell ref="F3:G3"/>
  </mergeCells>
  <phoneticPr fontId="0" type="noConversion"/>
  <conditionalFormatting sqref="D279 A15:E15 G15:IV15 W16:Y277 B15:B542 H16:H277 K15:K557">
    <cfRule type="expression" dxfId="2" priority="13" stopIfTrue="1">
      <formula>"TIPO(G21)=0"</formula>
    </cfRule>
    <cfRule type="expression" dxfId="1" priority="14" stopIfTrue="1">
      <formula>"TIPO(G21)=0"</formula>
    </cfRule>
  </conditionalFormatting>
  <conditionalFormatting sqref="F15:F277">
    <cfRule type="expression" dxfId="0" priority="15" stopIfTrue="1">
      <formula>$F$15</formula>
    </cfRule>
  </conditionalFormatting>
  <printOptions horizontalCentered="1"/>
  <pageMargins left="0.23622047244094491" right="0.74803149606299213" top="0.51181102362204722" bottom="0.98425196850393704" header="0.23622047244094491" footer="0"/>
  <pageSetup scale="41" orientation="landscape" r:id="rId1"/>
  <headerFooter alignWithMargins="0"/>
  <rowBreaks count="2" manualBreakCount="2">
    <brk id="283" max="8" man="1"/>
    <brk id="570" max="8" man="1"/>
  </rowBreaks>
  <ignoredErrors>
    <ignoredError sqref="H537:H543 E273:F277 E538:F542 E278 E15:F271 H15:H277 F272 E279:F494 H279:H536 E537 E543:F543 E556:F556 E558:E559 E498:F536 F496 F495 F497 E495:E497 C11" unlockedFormula="1"/>
    <ignoredError sqref="F278" formula="1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K106"/>
  <sheetViews>
    <sheetView workbookViewId="0">
      <selection activeCell="I3" sqref="I3"/>
    </sheetView>
  </sheetViews>
  <sheetFormatPr baseColWidth="10" defaultRowHeight="12.75"/>
  <cols>
    <col min="3" max="3" width="10.7109375" bestFit="1" customWidth="1"/>
    <col min="6" max="6" width="12.42578125" bestFit="1" customWidth="1"/>
    <col min="9" max="9" width="16.5703125" customWidth="1"/>
    <col min="11" max="11" width="13" bestFit="1" customWidth="1"/>
  </cols>
  <sheetData>
    <row r="1" spans="2:11" ht="13.5" thickBot="1"/>
    <row r="2" spans="2:11" ht="13.5" thickBot="1">
      <c r="B2" s="221" t="s">
        <v>301</v>
      </c>
      <c r="C2" s="222" t="s">
        <v>303</v>
      </c>
      <c r="D2" s="223">
        <v>20000</v>
      </c>
      <c r="E2" s="223">
        <v>10000</v>
      </c>
      <c r="F2" s="224">
        <v>5000</v>
      </c>
      <c r="G2" s="223">
        <v>2000</v>
      </c>
      <c r="H2" s="223">
        <v>1000</v>
      </c>
      <c r="I2" s="278">
        <v>20</v>
      </c>
    </row>
    <row r="3" spans="2:11">
      <c r="B3" s="225"/>
      <c r="C3" s="226"/>
      <c r="D3" s="227"/>
      <c r="E3" s="227"/>
      <c r="F3" s="227"/>
      <c r="G3" s="227"/>
      <c r="H3" s="227"/>
      <c r="I3" s="228"/>
      <c r="K3" s="239"/>
    </row>
    <row r="4" spans="2:11">
      <c r="B4" s="225"/>
      <c r="C4" s="242"/>
      <c r="D4" s="227"/>
      <c r="E4" s="227"/>
      <c r="F4" s="227"/>
      <c r="G4" s="227"/>
      <c r="H4" s="227"/>
      <c r="I4" s="228"/>
      <c r="K4" s="239"/>
    </row>
    <row r="5" spans="2:11">
      <c r="B5" s="225"/>
      <c r="C5" s="242"/>
      <c r="D5" s="227"/>
      <c r="E5" s="227"/>
      <c r="F5" s="227"/>
      <c r="G5" s="227"/>
      <c r="H5" s="227"/>
      <c r="I5" s="228"/>
      <c r="K5" s="239"/>
    </row>
    <row r="6" spans="2:11">
      <c r="B6" s="225"/>
      <c r="C6" s="242"/>
      <c r="D6" s="227"/>
      <c r="E6" s="227"/>
      <c r="F6" s="227"/>
      <c r="G6" s="227"/>
      <c r="H6" s="227"/>
      <c r="I6" s="228"/>
      <c r="K6" s="239"/>
    </row>
    <row r="7" spans="2:11">
      <c r="B7" s="225"/>
      <c r="C7" s="242"/>
      <c r="D7" s="227"/>
      <c r="E7" s="227"/>
      <c r="F7" s="227"/>
      <c r="G7" s="227"/>
      <c r="H7" s="227"/>
      <c r="I7" s="228"/>
      <c r="K7" s="239"/>
    </row>
    <row r="8" spans="2:11">
      <c r="B8" s="225"/>
      <c r="C8" s="242"/>
      <c r="D8" s="227"/>
      <c r="E8" s="227"/>
      <c r="F8" s="227"/>
      <c r="G8" s="227"/>
      <c r="H8" s="227"/>
      <c r="I8" s="228"/>
      <c r="K8" s="239"/>
    </row>
    <row r="9" spans="2:11">
      <c r="B9" s="225"/>
      <c r="C9" s="242"/>
      <c r="D9" s="227"/>
      <c r="E9" s="227"/>
      <c r="F9" s="227"/>
      <c r="G9" s="227"/>
      <c r="H9" s="227"/>
      <c r="I9" s="228"/>
      <c r="K9" s="239"/>
    </row>
    <row r="10" spans="2:11">
      <c r="B10" s="225"/>
      <c r="C10" s="242"/>
      <c r="D10" s="227"/>
      <c r="E10" s="227"/>
      <c r="F10" s="227"/>
      <c r="G10" s="227"/>
      <c r="H10" s="227"/>
      <c r="I10" s="228"/>
      <c r="K10" s="239"/>
    </row>
    <row r="11" spans="2:11">
      <c r="B11" s="225"/>
      <c r="C11" s="242"/>
      <c r="D11" s="227"/>
      <c r="E11" s="227"/>
      <c r="F11" s="227"/>
      <c r="G11" s="227"/>
      <c r="H11" s="227"/>
      <c r="I11" s="228"/>
      <c r="K11" s="239"/>
    </row>
    <row r="12" spans="2:11">
      <c r="B12" s="225"/>
      <c r="C12" s="242"/>
      <c r="D12" s="227"/>
      <c r="E12" s="227"/>
      <c r="F12" s="227"/>
      <c r="G12" s="227"/>
      <c r="H12" s="227"/>
      <c r="I12" s="228"/>
      <c r="K12" s="239"/>
    </row>
    <row r="13" spans="2:11">
      <c r="B13" s="225"/>
      <c r="C13" s="242"/>
      <c r="D13" s="227"/>
      <c r="E13" s="227"/>
      <c r="F13" s="227"/>
      <c r="G13" s="227"/>
      <c r="H13" s="227"/>
      <c r="I13" s="228"/>
      <c r="K13" s="239"/>
    </row>
    <row r="14" spans="2:11">
      <c r="B14" s="225"/>
      <c r="C14" s="242"/>
      <c r="D14" s="227"/>
      <c r="E14" s="227"/>
      <c r="F14" s="227"/>
      <c r="G14" s="227"/>
      <c r="H14" s="227"/>
      <c r="I14" s="228"/>
      <c r="K14" s="239"/>
    </row>
    <row r="15" spans="2:11">
      <c r="B15" s="225"/>
      <c r="C15" s="242"/>
      <c r="D15" s="227"/>
      <c r="E15" s="227"/>
      <c r="F15" s="227"/>
      <c r="G15" s="227"/>
      <c r="H15" s="227"/>
      <c r="I15" s="228"/>
      <c r="K15" s="239"/>
    </row>
    <row r="16" spans="2:11">
      <c r="B16" s="225"/>
      <c r="C16" s="242"/>
      <c r="D16" s="227"/>
      <c r="E16" s="227"/>
      <c r="F16" s="227"/>
      <c r="G16" s="227"/>
      <c r="H16" s="227"/>
      <c r="I16" s="228"/>
      <c r="K16" s="239"/>
    </row>
    <row r="17" spans="2:11">
      <c r="B17" s="225"/>
      <c r="C17" s="242"/>
      <c r="D17" s="227"/>
      <c r="E17" s="227"/>
      <c r="F17" s="227"/>
      <c r="G17" s="227"/>
      <c r="H17" s="227"/>
      <c r="I17" s="228"/>
      <c r="K17" s="239"/>
    </row>
    <row r="18" spans="2:11">
      <c r="B18" s="225"/>
      <c r="C18" s="242"/>
      <c r="D18" s="227"/>
      <c r="E18" s="227"/>
      <c r="F18" s="227"/>
      <c r="G18" s="227"/>
      <c r="H18" s="227"/>
      <c r="I18" s="228"/>
      <c r="K18" s="239"/>
    </row>
    <row r="19" spans="2:11">
      <c r="B19" s="225"/>
      <c r="C19" s="242"/>
      <c r="D19" s="227"/>
      <c r="E19" s="227"/>
      <c r="F19" s="227"/>
      <c r="G19" s="227"/>
      <c r="H19" s="227"/>
      <c r="I19" s="228"/>
      <c r="K19" s="239"/>
    </row>
    <row r="20" spans="2:11">
      <c r="B20" s="225"/>
      <c r="C20" s="242"/>
      <c r="D20" s="227"/>
      <c r="E20" s="227"/>
      <c r="F20" s="227"/>
      <c r="G20" s="227"/>
      <c r="H20" s="227"/>
      <c r="I20" s="228"/>
      <c r="K20" s="239"/>
    </row>
    <row r="21" spans="2:11">
      <c r="B21" s="225"/>
      <c r="C21" s="242"/>
      <c r="D21" s="227"/>
      <c r="E21" s="227"/>
      <c r="F21" s="227"/>
      <c r="G21" s="227"/>
      <c r="H21" s="227"/>
      <c r="I21" s="228"/>
      <c r="K21" s="239"/>
    </row>
    <row r="22" spans="2:11">
      <c r="B22" s="225"/>
      <c r="C22" s="242"/>
      <c r="D22" s="227"/>
      <c r="E22" s="227"/>
      <c r="F22" s="227"/>
      <c r="G22" s="227"/>
      <c r="H22" s="227"/>
      <c r="I22" s="228"/>
      <c r="K22" s="239"/>
    </row>
    <row r="23" spans="2:11">
      <c r="B23" s="225"/>
      <c r="C23" s="226"/>
      <c r="D23" s="227"/>
      <c r="E23" s="227"/>
      <c r="F23" s="227"/>
      <c r="G23" s="227"/>
      <c r="H23" s="227"/>
      <c r="I23" s="228"/>
      <c r="K23" s="239"/>
    </row>
    <row r="24" spans="2:11">
      <c r="B24" s="225"/>
      <c r="C24" s="226"/>
      <c r="D24" s="227"/>
      <c r="E24" s="227"/>
      <c r="F24" s="227"/>
      <c r="G24" s="227"/>
      <c r="H24" s="227"/>
      <c r="I24" s="228"/>
      <c r="K24" s="239"/>
    </row>
    <row r="25" spans="2:11">
      <c r="B25" s="225"/>
      <c r="C25" s="226"/>
      <c r="D25" s="227"/>
      <c r="E25" s="227"/>
      <c r="F25" s="227"/>
      <c r="G25" s="227"/>
      <c r="H25" s="227"/>
      <c r="I25" s="228"/>
      <c r="K25" s="239"/>
    </row>
    <row r="26" spans="2:11">
      <c r="B26" s="225"/>
      <c r="C26" s="226"/>
      <c r="D26" s="227"/>
      <c r="E26" s="227"/>
      <c r="F26" s="227"/>
      <c r="G26" s="227"/>
      <c r="H26" s="227"/>
      <c r="I26" s="228"/>
      <c r="K26" s="239"/>
    </row>
    <row r="27" spans="2:11">
      <c r="B27" s="225"/>
      <c r="C27" s="226"/>
      <c r="D27" s="227"/>
      <c r="E27" s="227"/>
      <c r="F27" s="227"/>
      <c r="G27" s="227"/>
      <c r="H27" s="227"/>
      <c r="I27" s="228"/>
      <c r="K27" s="239"/>
    </row>
    <row r="28" spans="2:11">
      <c r="B28" s="225"/>
      <c r="C28" s="226"/>
      <c r="D28" s="227"/>
      <c r="E28" s="227"/>
      <c r="F28" s="227"/>
      <c r="G28" s="227"/>
      <c r="H28" s="227"/>
      <c r="I28" s="228"/>
      <c r="K28" s="239"/>
    </row>
    <row r="29" spans="2:11">
      <c r="B29" s="225"/>
      <c r="C29" s="226"/>
      <c r="D29" s="227"/>
      <c r="E29" s="227"/>
      <c r="F29" s="227"/>
      <c r="G29" s="227"/>
      <c r="H29" s="227"/>
      <c r="I29" s="228"/>
      <c r="K29" s="239"/>
    </row>
    <row r="30" spans="2:11">
      <c r="B30" s="225"/>
      <c r="C30" s="226"/>
      <c r="D30" s="227"/>
      <c r="E30" s="227"/>
      <c r="F30" s="227"/>
      <c r="G30" s="227"/>
      <c r="H30" s="227"/>
      <c r="I30" s="228"/>
      <c r="K30" s="239"/>
    </row>
    <row r="31" spans="2:11">
      <c r="B31" s="225"/>
      <c r="C31" s="226"/>
      <c r="D31" s="227"/>
      <c r="E31" s="227"/>
      <c r="F31" s="227"/>
      <c r="G31" s="227"/>
      <c r="H31" s="227"/>
      <c r="I31" s="228"/>
      <c r="K31" s="239"/>
    </row>
    <row r="32" spans="2:11">
      <c r="B32" s="225"/>
      <c r="C32" s="226"/>
      <c r="D32" s="227"/>
      <c r="E32" s="227"/>
      <c r="F32" s="227"/>
      <c r="G32" s="227"/>
      <c r="H32" s="227"/>
      <c r="I32" s="228"/>
      <c r="K32" s="239"/>
    </row>
    <row r="33" spans="2:11">
      <c r="B33" s="225"/>
      <c r="C33" s="226"/>
      <c r="D33" s="227"/>
      <c r="E33" s="227"/>
      <c r="F33" s="227"/>
      <c r="G33" s="227"/>
      <c r="H33" s="227"/>
      <c r="I33" s="228"/>
      <c r="K33" s="239"/>
    </row>
    <row r="34" spans="2:11">
      <c r="B34" s="225"/>
      <c r="C34" s="226"/>
      <c r="D34" s="227"/>
      <c r="E34" s="227"/>
      <c r="F34" s="227"/>
      <c r="G34" s="227"/>
      <c r="H34" s="227"/>
      <c r="I34" s="228"/>
      <c r="K34" s="239"/>
    </row>
    <row r="35" spans="2:11">
      <c r="B35" s="225"/>
      <c r="C35" s="226"/>
      <c r="D35" s="227"/>
      <c r="E35" s="227"/>
      <c r="F35" s="227"/>
      <c r="G35" s="227"/>
      <c r="H35" s="227"/>
      <c r="I35" s="228"/>
      <c r="K35" s="239"/>
    </row>
    <row r="36" spans="2:11">
      <c r="B36" s="225"/>
      <c r="C36" s="226"/>
      <c r="D36" s="227"/>
      <c r="E36" s="227"/>
      <c r="F36" s="227"/>
      <c r="G36" s="227"/>
      <c r="H36" s="227"/>
      <c r="I36" s="228"/>
      <c r="K36" s="239"/>
    </row>
    <row r="37" spans="2:11">
      <c r="B37" s="225"/>
      <c r="C37" s="226"/>
      <c r="D37" s="227"/>
      <c r="E37" s="227"/>
      <c r="F37" s="227"/>
      <c r="G37" s="227"/>
      <c r="H37" s="227"/>
      <c r="I37" s="228"/>
      <c r="K37" s="239"/>
    </row>
    <row r="38" spans="2:11">
      <c r="B38" s="225"/>
      <c r="C38" s="226"/>
      <c r="D38" s="227"/>
      <c r="E38" s="227"/>
      <c r="F38" s="227"/>
      <c r="G38" s="227"/>
      <c r="H38" s="227"/>
      <c r="I38" s="228"/>
      <c r="K38" s="239"/>
    </row>
    <row r="39" spans="2:11">
      <c r="B39" s="225"/>
      <c r="C39" s="226"/>
      <c r="D39" s="227"/>
      <c r="E39" s="227"/>
      <c r="F39" s="227"/>
      <c r="G39" s="227"/>
      <c r="H39" s="227"/>
      <c r="I39" s="228"/>
      <c r="K39" s="239"/>
    </row>
    <row r="40" spans="2:11">
      <c r="B40" s="225"/>
      <c r="C40" s="226"/>
      <c r="D40" s="227"/>
      <c r="E40" s="227"/>
      <c r="F40" s="227"/>
      <c r="G40" s="227"/>
      <c r="H40" s="227"/>
      <c r="I40" s="228"/>
      <c r="K40" s="239"/>
    </row>
    <row r="41" spans="2:11">
      <c r="B41" s="225"/>
      <c r="C41" s="226"/>
      <c r="D41" s="227"/>
      <c r="E41" s="227"/>
      <c r="F41" s="227"/>
      <c r="G41" s="227"/>
      <c r="H41" s="227"/>
      <c r="I41" s="228"/>
      <c r="K41" s="239"/>
    </row>
    <row r="42" spans="2:11">
      <c r="B42" s="225"/>
      <c r="C42" s="226"/>
      <c r="D42" s="227"/>
      <c r="E42" s="227"/>
      <c r="F42" s="227"/>
      <c r="G42" s="227"/>
      <c r="H42" s="227"/>
      <c r="I42" s="228"/>
      <c r="K42" s="239"/>
    </row>
    <row r="43" spans="2:11">
      <c r="B43" s="225"/>
      <c r="C43" s="226"/>
      <c r="D43" s="227"/>
      <c r="E43" s="227"/>
      <c r="F43" s="227"/>
      <c r="G43" s="227"/>
      <c r="H43" s="227"/>
      <c r="I43" s="228"/>
      <c r="K43" s="239"/>
    </row>
    <row r="44" spans="2:11">
      <c r="B44" s="225"/>
      <c r="C44" s="226"/>
      <c r="D44" s="227"/>
      <c r="E44" s="227"/>
      <c r="F44" s="227"/>
      <c r="G44" s="227"/>
      <c r="H44" s="227"/>
      <c r="I44" s="228"/>
      <c r="K44" s="239"/>
    </row>
    <row r="45" spans="2:11">
      <c r="B45" s="225"/>
      <c r="C45" s="226"/>
      <c r="D45" s="227"/>
      <c r="E45" s="227"/>
      <c r="F45" s="227"/>
      <c r="G45" s="227"/>
      <c r="H45" s="227"/>
      <c r="I45" s="228"/>
      <c r="K45" s="239"/>
    </row>
    <row r="46" spans="2:11">
      <c r="B46" s="225"/>
      <c r="C46" s="226"/>
      <c r="D46" s="227"/>
      <c r="E46" s="227"/>
      <c r="F46" s="227"/>
      <c r="G46" s="227"/>
      <c r="H46" s="227"/>
      <c r="I46" s="228"/>
      <c r="K46" s="239"/>
    </row>
    <row r="47" spans="2:11">
      <c r="B47" s="225"/>
      <c r="C47" s="226"/>
      <c r="D47" s="227"/>
      <c r="E47" s="227"/>
      <c r="F47" s="227"/>
      <c r="G47" s="227"/>
      <c r="H47" s="227"/>
      <c r="I47" s="228"/>
      <c r="K47" s="239"/>
    </row>
    <row r="48" spans="2:11">
      <c r="B48" s="225"/>
      <c r="C48" s="226"/>
      <c r="D48" s="227"/>
      <c r="E48" s="227"/>
      <c r="F48" s="227"/>
      <c r="G48" s="227"/>
      <c r="H48" s="227"/>
      <c r="I48" s="228"/>
      <c r="K48" s="239"/>
    </row>
    <row r="49" spans="2:11">
      <c r="B49" s="225"/>
      <c r="C49" s="226"/>
      <c r="D49" s="227"/>
      <c r="E49" s="227"/>
      <c r="F49" s="227"/>
      <c r="G49" s="227"/>
      <c r="H49" s="227"/>
      <c r="I49" s="228"/>
      <c r="K49" s="239"/>
    </row>
    <row r="50" spans="2:11">
      <c r="B50" s="225"/>
      <c r="C50" s="226"/>
      <c r="D50" s="227"/>
      <c r="E50" s="227"/>
      <c r="F50" s="227"/>
      <c r="G50" s="227"/>
      <c r="H50" s="227"/>
      <c r="I50" s="228"/>
      <c r="K50" s="239"/>
    </row>
    <row r="51" spans="2:11">
      <c r="B51" s="225"/>
      <c r="C51" s="226"/>
      <c r="D51" s="227"/>
      <c r="E51" s="227"/>
      <c r="F51" s="227"/>
      <c r="G51" s="227"/>
      <c r="H51" s="227"/>
      <c r="I51" s="228"/>
      <c r="K51" s="239"/>
    </row>
    <row r="52" spans="2:11">
      <c r="B52" s="225"/>
      <c r="C52" s="226"/>
      <c r="D52" s="227"/>
      <c r="E52" s="227"/>
      <c r="F52" s="227"/>
      <c r="G52" s="227"/>
      <c r="H52" s="227"/>
      <c r="I52" s="228"/>
      <c r="K52" s="239"/>
    </row>
    <row r="53" spans="2:11">
      <c r="B53" s="225"/>
      <c r="C53" s="226"/>
      <c r="D53" s="227"/>
      <c r="E53" s="227"/>
      <c r="F53" s="227"/>
      <c r="G53" s="227"/>
      <c r="H53" s="227"/>
      <c r="I53" s="228"/>
      <c r="K53" s="239"/>
    </row>
    <row r="54" spans="2:11">
      <c r="B54" s="225"/>
      <c r="C54" s="226"/>
      <c r="D54" s="227"/>
      <c r="E54" s="227"/>
      <c r="F54" s="227"/>
      <c r="G54" s="227"/>
      <c r="H54" s="227"/>
      <c r="I54" s="228"/>
      <c r="K54" s="239"/>
    </row>
    <row r="55" spans="2:11">
      <c r="B55" s="225"/>
      <c r="C55" s="226"/>
      <c r="D55" s="227"/>
      <c r="E55" s="227"/>
      <c r="F55" s="227"/>
      <c r="G55" s="227"/>
      <c r="H55" s="227"/>
      <c r="I55" s="228"/>
      <c r="K55" s="239"/>
    </row>
    <row r="56" spans="2:11">
      <c r="B56" s="225"/>
      <c r="C56" s="226"/>
      <c r="D56" s="227"/>
      <c r="E56" s="227"/>
      <c r="F56" s="227"/>
      <c r="G56" s="227"/>
      <c r="H56" s="227"/>
      <c r="I56" s="228"/>
      <c r="K56" s="239"/>
    </row>
    <row r="57" spans="2:11">
      <c r="B57" s="225"/>
      <c r="C57" s="226"/>
      <c r="D57" s="227"/>
      <c r="E57" s="227"/>
      <c r="F57" s="227"/>
      <c r="G57" s="227"/>
      <c r="H57" s="227"/>
      <c r="I57" s="228"/>
      <c r="K57" s="239"/>
    </row>
    <row r="58" spans="2:11">
      <c r="B58" s="225"/>
      <c r="C58" s="226"/>
      <c r="D58" s="227"/>
      <c r="E58" s="227"/>
      <c r="F58" s="227"/>
      <c r="G58" s="227"/>
      <c r="H58" s="227"/>
      <c r="I58" s="228"/>
      <c r="K58" s="239"/>
    </row>
    <row r="59" spans="2:11">
      <c r="B59" s="225"/>
      <c r="C59" s="226"/>
      <c r="D59" s="227"/>
      <c r="E59" s="227"/>
      <c r="F59" s="227"/>
      <c r="G59" s="227"/>
      <c r="H59" s="227"/>
      <c r="I59" s="228"/>
      <c r="K59" s="239"/>
    </row>
    <row r="60" spans="2:11">
      <c r="B60" s="225"/>
      <c r="C60" s="226"/>
      <c r="D60" s="227"/>
      <c r="E60" s="227"/>
      <c r="F60" s="227"/>
      <c r="G60" s="227"/>
      <c r="H60" s="227"/>
      <c r="I60" s="228"/>
      <c r="K60" s="239"/>
    </row>
    <row r="61" spans="2:11">
      <c r="B61" s="225"/>
      <c r="C61" s="226"/>
      <c r="D61" s="227"/>
      <c r="E61" s="227"/>
      <c r="F61" s="227"/>
      <c r="G61" s="227"/>
      <c r="H61" s="227"/>
      <c r="I61" s="228"/>
      <c r="K61" s="239"/>
    </row>
    <row r="62" spans="2:11">
      <c r="B62" s="225"/>
      <c r="C62" s="226"/>
      <c r="D62" s="227"/>
      <c r="E62" s="227"/>
      <c r="F62" s="227"/>
      <c r="G62" s="227"/>
      <c r="H62" s="227"/>
      <c r="I62" s="228"/>
      <c r="K62" s="239"/>
    </row>
    <row r="63" spans="2:11">
      <c r="B63" s="225"/>
      <c r="C63" s="226"/>
      <c r="D63" s="227"/>
      <c r="E63" s="227"/>
      <c r="F63" s="227"/>
      <c r="G63" s="227"/>
      <c r="H63" s="227"/>
      <c r="I63" s="228"/>
      <c r="K63" s="239"/>
    </row>
    <row r="64" spans="2:11">
      <c r="B64" s="225"/>
      <c r="C64" s="226"/>
      <c r="D64" s="227"/>
      <c r="E64" s="227"/>
      <c r="F64" s="227"/>
      <c r="G64" s="227"/>
      <c r="H64" s="227"/>
      <c r="I64" s="228"/>
      <c r="K64" s="239"/>
    </row>
    <row r="65" spans="2:11">
      <c r="B65" s="225"/>
      <c r="C65" s="226"/>
      <c r="D65" s="227"/>
      <c r="E65" s="227"/>
      <c r="F65" s="227"/>
      <c r="G65" s="227"/>
      <c r="H65" s="227"/>
      <c r="I65" s="228"/>
      <c r="K65" s="239"/>
    </row>
    <row r="66" spans="2:11">
      <c r="B66" s="225"/>
      <c r="C66" s="226"/>
      <c r="D66" s="227"/>
      <c r="E66" s="227"/>
      <c r="F66" s="227"/>
      <c r="G66" s="227"/>
      <c r="H66" s="227"/>
      <c r="I66" s="228"/>
      <c r="K66" s="239"/>
    </row>
    <row r="67" spans="2:11">
      <c r="B67" s="225"/>
      <c r="C67" s="226"/>
      <c r="D67" s="227"/>
      <c r="E67" s="227"/>
      <c r="F67" s="227"/>
      <c r="G67" s="227"/>
      <c r="H67" s="227"/>
      <c r="I67" s="228"/>
    </row>
    <row r="68" spans="2:11">
      <c r="B68" s="225"/>
      <c r="C68" s="226"/>
      <c r="D68" s="227"/>
      <c r="E68" s="227"/>
      <c r="F68" s="227"/>
      <c r="G68" s="227"/>
      <c r="H68" s="227"/>
      <c r="I68" s="228"/>
    </row>
    <row r="69" spans="2:11">
      <c r="B69" s="225"/>
      <c r="C69" s="226"/>
      <c r="D69" s="227"/>
      <c r="E69" s="227"/>
      <c r="F69" s="227"/>
      <c r="G69" s="227"/>
      <c r="H69" s="227"/>
      <c r="I69" s="228"/>
    </row>
    <row r="70" spans="2:11">
      <c r="B70" s="225"/>
      <c r="C70" s="226"/>
      <c r="D70" s="227"/>
      <c r="E70" s="227"/>
      <c r="F70" s="227"/>
      <c r="G70" s="227"/>
      <c r="H70" s="227"/>
      <c r="I70" s="228"/>
    </row>
    <row r="71" spans="2:11">
      <c r="B71" s="225"/>
      <c r="C71" s="226"/>
      <c r="D71" s="227"/>
      <c r="E71" s="227"/>
      <c r="F71" s="227"/>
      <c r="G71" s="227"/>
      <c r="H71" s="227"/>
      <c r="I71" s="228"/>
    </row>
    <row r="72" spans="2:11">
      <c r="B72" s="225"/>
      <c r="C72" s="226"/>
      <c r="D72" s="227"/>
      <c r="E72" s="227"/>
      <c r="F72" s="227"/>
      <c r="G72" s="227"/>
      <c r="H72" s="227"/>
      <c r="I72" s="228"/>
    </row>
    <row r="73" spans="2:11">
      <c r="B73" s="225"/>
      <c r="C73" s="226"/>
      <c r="D73" s="227"/>
      <c r="E73" s="227"/>
      <c r="F73" s="227"/>
      <c r="G73" s="227"/>
      <c r="H73" s="227"/>
      <c r="I73" s="228"/>
    </row>
    <row r="74" spans="2:11">
      <c r="B74" s="225"/>
      <c r="C74" s="226"/>
      <c r="D74" s="227"/>
      <c r="E74" s="227"/>
      <c r="F74" s="227"/>
      <c r="G74" s="227"/>
      <c r="H74" s="227"/>
      <c r="I74" s="228"/>
    </row>
    <row r="75" spans="2:11">
      <c r="B75" s="225"/>
      <c r="C75" s="226"/>
      <c r="D75" s="227"/>
      <c r="E75" s="227"/>
      <c r="F75" s="227"/>
      <c r="G75" s="227"/>
      <c r="H75" s="227"/>
      <c r="I75" s="228"/>
    </row>
    <row r="76" spans="2:11">
      <c r="B76" s="225"/>
      <c r="C76" s="226"/>
      <c r="D76" s="227"/>
      <c r="E76" s="227"/>
      <c r="F76" s="227"/>
      <c r="G76" s="227"/>
      <c r="H76" s="227"/>
      <c r="I76" s="228"/>
    </row>
    <row r="77" spans="2:11">
      <c r="B77" s="225"/>
      <c r="C77" s="226"/>
      <c r="D77" s="227"/>
      <c r="E77" s="227"/>
      <c r="F77" s="227"/>
      <c r="G77" s="227"/>
      <c r="H77" s="227"/>
      <c r="I77" s="228"/>
    </row>
    <row r="78" spans="2:11">
      <c r="B78" s="225"/>
      <c r="C78" s="226"/>
      <c r="D78" s="227"/>
      <c r="E78" s="227"/>
      <c r="F78" s="227"/>
      <c r="G78" s="227"/>
      <c r="H78" s="227"/>
      <c r="I78" s="228"/>
    </row>
    <row r="79" spans="2:11">
      <c r="B79" s="225"/>
      <c r="C79" s="226"/>
      <c r="D79" s="227"/>
      <c r="E79" s="227"/>
      <c r="F79" s="227"/>
      <c r="G79" s="227"/>
      <c r="H79" s="227"/>
      <c r="I79" s="228"/>
    </row>
    <row r="80" spans="2:11">
      <c r="B80" s="225"/>
      <c r="C80" s="226"/>
      <c r="D80" s="227"/>
      <c r="E80" s="227"/>
      <c r="F80" s="227"/>
      <c r="G80" s="227"/>
      <c r="H80" s="227"/>
      <c r="I80" s="228"/>
    </row>
    <row r="81" spans="2:9">
      <c r="B81" s="225"/>
      <c r="C81" s="226"/>
      <c r="D81" s="227"/>
      <c r="E81" s="227"/>
      <c r="F81" s="227"/>
      <c r="G81" s="227"/>
      <c r="H81" s="227"/>
      <c r="I81" s="228"/>
    </row>
    <row r="82" spans="2:9">
      <c r="B82" s="225"/>
      <c r="C82" s="226"/>
      <c r="D82" s="227"/>
      <c r="E82" s="227"/>
      <c r="F82" s="227"/>
      <c r="G82" s="227"/>
      <c r="H82" s="227"/>
      <c r="I82" s="228"/>
    </row>
    <row r="83" spans="2:9">
      <c r="B83" s="225"/>
      <c r="C83" s="226"/>
      <c r="D83" s="227"/>
      <c r="E83" s="227"/>
      <c r="F83" s="227"/>
      <c r="G83" s="227"/>
      <c r="H83" s="227"/>
      <c r="I83" s="228"/>
    </row>
    <row r="84" spans="2:9">
      <c r="B84" s="225"/>
      <c r="C84" s="226"/>
      <c r="D84" s="227"/>
      <c r="E84" s="227"/>
      <c r="F84" s="227"/>
      <c r="G84" s="227"/>
      <c r="H84" s="227"/>
      <c r="I84" s="228"/>
    </row>
    <row r="85" spans="2:9">
      <c r="B85" s="225"/>
      <c r="C85" s="226"/>
      <c r="D85" s="227"/>
      <c r="E85" s="227"/>
      <c r="F85" s="227"/>
      <c r="G85" s="227"/>
      <c r="H85" s="227"/>
      <c r="I85" s="228"/>
    </row>
    <row r="86" spans="2:9">
      <c r="B86" s="225"/>
      <c r="C86" s="226"/>
      <c r="D86" s="227"/>
      <c r="E86" s="227"/>
      <c r="F86" s="227"/>
      <c r="G86" s="227"/>
      <c r="H86" s="227"/>
      <c r="I86" s="228"/>
    </row>
    <row r="87" spans="2:9">
      <c r="B87" s="225"/>
      <c r="C87" s="226"/>
      <c r="D87" s="227"/>
      <c r="E87" s="227"/>
      <c r="F87" s="227"/>
      <c r="G87" s="227"/>
      <c r="H87" s="227"/>
      <c r="I87" s="228"/>
    </row>
    <row r="88" spans="2:9">
      <c r="B88" s="225"/>
      <c r="C88" s="226"/>
      <c r="D88" s="227"/>
      <c r="E88" s="227"/>
      <c r="F88" s="227"/>
      <c r="G88" s="227"/>
      <c r="H88" s="227"/>
      <c r="I88" s="228"/>
    </row>
    <row r="89" spans="2:9">
      <c r="B89" s="225"/>
      <c r="C89" s="226"/>
      <c r="D89" s="227"/>
      <c r="E89" s="227"/>
      <c r="F89" s="227"/>
      <c r="G89" s="227"/>
      <c r="H89" s="227"/>
      <c r="I89" s="228"/>
    </row>
    <row r="90" spans="2:9">
      <c r="B90" s="225"/>
      <c r="C90" s="226"/>
      <c r="D90" s="227"/>
      <c r="E90" s="227"/>
      <c r="F90" s="227"/>
      <c r="G90" s="227"/>
      <c r="H90" s="227"/>
      <c r="I90" s="228"/>
    </row>
    <row r="91" spans="2:9">
      <c r="B91" s="225"/>
      <c r="C91" s="226"/>
      <c r="D91" s="227"/>
      <c r="E91" s="227"/>
      <c r="F91" s="227"/>
      <c r="G91" s="227"/>
      <c r="H91" s="227"/>
      <c r="I91" s="228"/>
    </row>
    <row r="92" spans="2:9">
      <c r="B92" s="225"/>
      <c r="C92" s="226"/>
      <c r="D92" s="227"/>
      <c r="E92" s="227"/>
      <c r="F92" s="227"/>
      <c r="G92" s="227"/>
      <c r="H92" s="227"/>
      <c r="I92" s="228"/>
    </row>
    <row r="93" spans="2:9">
      <c r="B93" s="225"/>
      <c r="C93" s="226"/>
      <c r="D93" s="227"/>
      <c r="E93" s="227"/>
      <c r="F93" s="227"/>
      <c r="G93" s="227"/>
      <c r="H93" s="227"/>
      <c r="I93" s="228"/>
    </row>
    <row r="94" spans="2:9">
      <c r="B94" s="225"/>
      <c r="C94" s="226"/>
      <c r="D94" s="227"/>
      <c r="E94" s="227"/>
      <c r="F94" s="227"/>
      <c r="G94" s="227"/>
      <c r="H94" s="227"/>
      <c r="I94" s="228"/>
    </row>
    <row r="95" spans="2:9">
      <c r="B95" s="225"/>
      <c r="C95" s="226"/>
      <c r="D95" s="227"/>
      <c r="E95" s="227"/>
      <c r="F95" s="227"/>
      <c r="G95" s="227"/>
      <c r="H95" s="227"/>
      <c r="I95" s="228"/>
    </row>
    <row r="96" spans="2:9">
      <c r="B96" s="225"/>
      <c r="C96" s="226"/>
      <c r="D96" s="227"/>
      <c r="E96" s="227"/>
      <c r="F96" s="227"/>
      <c r="G96" s="227"/>
      <c r="H96" s="227"/>
      <c r="I96" s="228"/>
    </row>
    <row r="97" spans="2:9">
      <c r="B97" s="225"/>
      <c r="C97" s="226"/>
      <c r="D97" s="227"/>
      <c r="E97" s="227"/>
      <c r="F97" s="227"/>
      <c r="G97" s="227"/>
      <c r="H97" s="227"/>
      <c r="I97" s="228"/>
    </row>
    <row r="98" spans="2:9">
      <c r="B98" s="225"/>
      <c r="C98" s="226"/>
      <c r="D98" s="227"/>
      <c r="E98" s="227"/>
      <c r="F98" s="227"/>
      <c r="G98" s="227"/>
      <c r="H98" s="227"/>
      <c r="I98" s="228"/>
    </row>
    <row r="99" spans="2:9">
      <c r="B99" s="225"/>
      <c r="C99" s="226"/>
      <c r="D99" s="227"/>
      <c r="E99" s="227"/>
      <c r="F99" s="227"/>
      <c r="G99" s="227"/>
      <c r="H99" s="227"/>
      <c r="I99" s="228"/>
    </row>
    <row r="100" spans="2:9">
      <c r="B100" s="225"/>
      <c r="C100" s="226"/>
      <c r="D100" s="227"/>
      <c r="E100" s="227"/>
      <c r="F100" s="227"/>
      <c r="G100" s="227"/>
      <c r="H100" s="227"/>
      <c r="I100" s="228"/>
    </row>
    <row r="101" spans="2:9">
      <c r="B101" s="225"/>
      <c r="C101" s="226"/>
      <c r="D101" s="227"/>
      <c r="E101" s="227"/>
      <c r="F101" s="227"/>
      <c r="G101" s="227"/>
      <c r="H101" s="227"/>
      <c r="I101" s="228"/>
    </row>
    <row r="102" spans="2:9">
      <c r="B102" s="225"/>
      <c r="C102" s="226"/>
      <c r="D102" s="227"/>
      <c r="E102" s="227"/>
      <c r="F102" s="227"/>
      <c r="G102" s="227"/>
      <c r="H102" s="227"/>
      <c r="I102" s="228"/>
    </row>
    <row r="103" spans="2:9">
      <c r="B103" s="225"/>
      <c r="C103" s="226"/>
      <c r="D103" s="227"/>
      <c r="E103" s="227"/>
      <c r="F103" s="227"/>
      <c r="G103" s="227"/>
      <c r="H103" s="227"/>
      <c r="I103" s="228"/>
    </row>
    <row r="104" spans="2:9">
      <c r="B104" s="225"/>
      <c r="C104" s="226"/>
      <c r="D104" s="227"/>
      <c r="E104" s="227"/>
      <c r="F104" s="227"/>
      <c r="G104" s="227"/>
      <c r="H104" s="227"/>
      <c r="I104" s="228"/>
    </row>
    <row r="105" spans="2:9">
      <c r="B105" s="225"/>
      <c r="C105" s="226"/>
      <c r="D105" s="227"/>
      <c r="E105" s="227"/>
      <c r="F105" s="227"/>
      <c r="G105" s="227"/>
      <c r="H105" s="227"/>
      <c r="I105" s="228"/>
    </row>
    <row r="106" spans="2:9" ht="13.5" thickBot="1">
      <c r="B106" s="229"/>
      <c r="C106" s="230"/>
      <c r="D106" s="231"/>
      <c r="E106" s="231"/>
      <c r="F106" s="231"/>
      <c r="G106" s="231"/>
      <c r="H106" s="231"/>
      <c r="I106" s="232"/>
    </row>
  </sheetData>
  <autoFilter ref="B2:I106">
    <sortState ref="B3:O106">
      <sortCondition ref="B2:B106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L93"/>
  <sheetViews>
    <sheetView workbookViewId="0">
      <selection activeCell="B2" sqref="B2"/>
    </sheetView>
  </sheetViews>
  <sheetFormatPr baseColWidth="10" defaultRowHeight="12.75"/>
  <cols>
    <col min="2" max="2" width="16.42578125" bestFit="1" customWidth="1"/>
    <col min="3" max="3" width="12.140625" customWidth="1"/>
    <col min="4" max="5" width="12.85546875" bestFit="1" customWidth="1"/>
    <col min="6" max="6" width="12.42578125" bestFit="1" customWidth="1"/>
    <col min="7" max="7" width="11.85546875" bestFit="1" customWidth="1"/>
    <col min="8" max="8" width="13.42578125" customWidth="1"/>
    <col min="9" max="9" width="12.42578125" bestFit="1" customWidth="1"/>
    <col min="10" max="10" width="17.5703125" bestFit="1" customWidth="1"/>
    <col min="11" max="11" width="17.7109375" bestFit="1" customWidth="1"/>
    <col min="12" max="12" width="13" bestFit="1" customWidth="1"/>
  </cols>
  <sheetData>
    <row r="1" spans="2:12" ht="13.5" thickBot="1"/>
    <row r="2" spans="2:12" ht="13.5" thickBot="1">
      <c r="B2" s="234" t="s">
        <v>302</v>
      </c>
      <c r="C2" s="233" t="s">
        <v>303</v>
      </c>
      <c r="D2" s="241">
        <v>20000</v>
      </c>
      <c r="E2" s="235">
        <v>10000</v>
      </c>
      <c r="F2" s="236">
        <v>5000</v>
      </c>
      <c r="G2" s="235">
        <v>2000</v>
      </c>
      <c r="H2" s="237">
        <v>1000</v>
      </c>
      <c r="I2" s="240">
        <v>20</v>
      </c>
      <c r="J2" s="240" t="s">
        <v>304</v>
      </c>
      <c r="K2" s="240" t="s">
        <v>305</v>
      </c>
    </row>
    <row r="3" spans="2:12" ht="15">
      <c r="B3" s="243"/>
      <c r="C3" s="244"/>
      <c r="D3" s="245"/>
      <c r="E3" s="246"/>
      <c r="F3" s="245"/>
      <c r="G3" s="246"/>
      <c r="H3" s="247"/>
      <c r="I3" s="279"/>
      <c r="J3" s="283"/>
      <c r="K3" s="283"/>
      <c r="L3" s="238"/>
    </row>
    <row r="4" spans="2:12" ht="15">
      <c r="B4" s="248"/>
      <c r="C4" s="249"/>
      <c r="D4" s="250"/>
      <c r="E4" s="251"/>
      <c r="F4" s="250"/>
      <c r="G4" s="251"/>
      <c r="H4" s="252"/>
      <c r="I4" s="280"/>
      <c r="J4" s="284"/>
      <c r="K4" s="284"/>
      <c r="L4" s="238"/>
    </row>
    <row r="5" spans="2:12" ht="15">
      <c r="B5" s="248"/>
      <c r="C5" s="249"/>
      <c r="D5" s="250"/>
      <c r="E5" s="251"/>
      <c r="F5" s="250"/>
      <c r="G5" s="251"/>
      <c r="H5" s="252"/>
      <c r="I5" s="280"/>
      <c r="J5" s="284"/>
      <c r="K5" s="284"/>
      <c r="L5" s="238"/>
    </row>
    <row r="6" spans="2:12" ht="15">
      <c r="B6" s="248"/>
      <c r="C6" s="249"/>
      <c r="D6" s="250"/>
      <c r="E6" s="251"/>
      <c r="F6" s="250"/>
      <c r="G6" s="251"/>
      <c r="H6" s="252"/>
      <c r="I6" s="280"/>
      <c r="J6" s="284"/>
      <c r="K6" s="284"/>
      <c r="L6" s="238"/>
    </row>
    <row r="7" spans="2:12" ht="15">
      <c r="B7" s="248"/>
      <c r="C7" s="249"/>
      <c r="D7" s="250"/>
      <c r="E7" s="251"/>
      <c r="F7" s="250"/>
      <c r="G7" s="251"/>
      <c r="H7" s="252"/>
      <c r="I7" s="280"/>
      <c r="J7" s="284"/>
      <c r="K7" s="284"/>
      <c r="L7" s="238"/>
    </row>
    <row r="8" spans="2:12" ht="15">
      <c r="B8" s="248"/>
      <c r="C8" s="249"/>
      <c r="D8" s="250"/>
      <c r="E8" s="251"/>
      <c r="F8" s="250"/>
      <c r="G8" s="251"/>
      <c r="H8" s="252"/>
      <c r="I8" s="280"/>
      <c r="J8" s="284"/>
      <c r="K8" s="284"/>
      <c r="L8" s="238"/>
    </row>
    <row r="9" spans="2:12" ht="15">
      <c r="B9" s="248"/>
      <c r="C9" s="249"/>
      <c r="D9" s="250"/>
      <c r="E9" s="251"/>
      <c r="F9" s="250"/>
      <c r="G9" s="251"/>
      <c r="H9" s="252"/>
      <c r="I9" s="280"/>
      <c r="J9" s="284"/>
      <c r="K9" s="284"/>
      <c r="L9" s="238"/>
    </row>
    <row r="10" spans="2:12" ht="15">
      <c r="B10" s="248"/>
      <c r="C10" s="249"/>
      <c r="D10" s="250"/>
      <c r="E10" s="251"/>
      <c r="F10" s="250"/>
      <c r="G10" s="251"/>
      <c r="H10" s="252"/>
      <c r="I10" s="280"/>
      <c r="J10" s="284"/>
      <c r="K10" s="284"/>
      <c r="L10" s="238"/>
    </row>
    <row r="11" spans="2:12" ht="15">
      <c r="B11" s="253"/>
      <c r="C11" s="254"/>
      <c r="D11" s="255"/>
      <c r="E11" s="256"/>
      <c r="F11" s="255"/>
      <c r="G11" s="256"/>
      <c r="H11" s="257"/>
      <c r="I11" s="281"/>
      <c r="J11" s="284"/>
      <c r="K11" s="284"/>
      <c r="L11" s="238"/>
    </row>
    <row r="12" spans="2:12" ht="15">
      <c r="B12" s="253"/>
      <c r="C12" s="254"/>
      <c r="D12" s="255"/>
      <c r="E12" s="256"/>
      <c r="F12" s="255"/>
      <c r="G12" s="256"/>
      <c r="H12" s="257"/>
      <c r="I12" s="281"/>
      <c r="J12" s="284"/>
      <c r="K12" s="284"/>
      <c r="L12" s="238"/>
    </row>
    <row r="13" spans="2:12" ht="15">
      <c r="B13" s="253"/>
      <c r="C13" s="254"/>
      <c r="D13" s="255"/>
      <c r="E13" s="256"/>
      <c r="F13" s="255"/>
      <c r="G13" s="256"/>
      <c r="H13" s="257"/>
      <c r="I13" s="281"/>
      <c r="J13" s="284"/>
      <c r="K13" s="284"/>
      <c r="L13" s="238"/>
    </row>
    <row r="14" spans="2:12" ht="15">
      <c r="B14" s="253"/>
      <c r="C14" s="254"/>
      <c r="D14" s="255"/>
      <c r="E14" s="256"/>
      <c r="F14" s="255"/>
      <c r="G14" s="256"/>
      <c r="H14" s="257"/>
      <c r="I14" s="281"/>
      <c r="J14" s="284"/>
      <c r="K14" s="284"/>
      <c r="L14" s="238"/>
    </row>
    <row r="15" spans="2:12" ht="15">
      <c r="B15" s="253"/>
      <c r="C15" s="254"/>
      <c r="D15" s="255"/>
      <c r="E15" s="256"/>
      <c r="F15" s="255"/>
      <c r="G15" s="256"/>
      <c r="H15" s="257"/>
      <c r="I15" s="281"/>
      <c r="J15" s="284"/>
      <c r="K15" s="284"/>
      <c r="L15" s="238"/>
    </row>
    <row r="16" spans="2:12" ht="15">
      <c r="B16" s="253"/>
      <c r="C16" s="254"/>
      <c r="D16" s="255"/>
      <c r="E16" s="256"/>
      <c r="F16" s="255"/>
      <c r="G16" s="256"/>
      <c r="H16" s="257"/>
      <c r="I16" s="281"/>
      <c r="J16" s="284"/>
      <c r="K16" s="284"/>
      <c r="L16" s="238"/>
    </row>
    <row r="17" spans="2:12" ht="15">
      <c r="B17" s="253"/>
      <c r="C17" s="254"/>
      <c r="D17" s="255"/>
      <c r="E17" s="256"/>
      <c r="F17" s="255"/>
      <c r="G17" s="256"/>
      <c r="H17" s="257"/>
      <c r="I17" s="281"/>
      <c r="J17" s="284"/>
      <c r="K17" s="284"/>
      <c r="L17" s="238"/>
    </row>
    <row r="18" spans="2:12" ht="15">
      <c r="B18" s="253"/>
      <c r="C18" s="254"/>
      <c r="D18" s="255"/>
      <c r="E18" s="256"/>
      <c r="F18" s="255"/>
      <c r="G18" s="256"/>
      <c r="H18" s="257"/>
      <c r="I18" s="281"/>
      <c r="J18" s="284"/>
      <c r="K18" s="284"/>
      <c r="L18" s="238"/>
    </row>
    <row r="19" spans="2:12" ht="15">
      <c r="B19" s="253"/>
      <c r="C19" s="254"/>
      <c r="D19" s="255"/>
      <c r="E19" s="256"/>
      <c r="F19" s="255"/>
      <c r="G19" s="256"/>
      <c r="H19" s="257"/>
      <c r="I19" s="281"/>
      <c r="J19" s="284"/>
      <c r="K19" s="284"/>
      <c r="L19" s="238"/>
    </row>
    <row r="20" spans="2:12" ht="15">
      <c r="B20" s="253"/>
      <c r="C20" s="254"/>
      <c r="D20" s="255"/>
      <c r="E20" s="256"/>
      <c r="F20" s="255"/>
      <c r="G20" s="256"/>
      <c r="H20" s="257"/>
      <c r="I20" s="281"/>
      <c r="J20" s="284"/>
      <c r="K20" s="284"/>
      <c r="L20" s="238"/>
    </row>
    <row r="21" spans="2:12" ht="15">
      <c r="B21" s="253"/>
      <c r="C21" s="254"/>
      <c r="D21" s="255"/>
      <c r="E21" s="256"/>
      <c r="F21" s="255"/>
      <c r="G21" s="256"/>
      <c r="H21" s="257"/>
      <c r="I21" s="281"/>
      <c r="J21" s="284"/>
      <c r="K21" s="284"/>
      <c r="L21" s="238"/>
    </row>
    <row r="22" spans="2:12" ht="15">
      <c r="B22" s="253"/>
      <c r="C22" s="254"/>
      <c r="D22" s="255"/>
      <c r="E22" s="256"/>
      <c r="F22" s="255"/>
      <c r="G22" s="256"/>
      <c r="H22" s="257"/>
      <c r="I22" s="281"/>
      <c r="J22" s="284"/>
      <c r="K22" s="284"/>
      <c r="L22" s="238"/>
    </row>
    <row r="23" spans="2:12" ht="15">
      <c r="B23" s="253"/>
      <c r="C23" s="254"/>
      <c r="D23" s="255"/>
      <c r="E23" s="256"/>
      <c r="F23" s="255"/>
      <c r="G23" s="256"/>
      <c r="H23" s="257"/>
      <c r="I23" s="281"/>
      <c r="J23" s="284"/>
      <c r="K23" s="284"/>
      <c r="L23" s="238"/>
    </row>
    <row r="24" spans="2:12" ht="15">
      <c r="B24" s="253"/>
      <c r="C24" s="254"/>
      <c r="D24" s="255"/>
      <c r="E24" s="256"/>
      <c r="F24" s="255"/>
      <c r="G24" s="256"/>
      <c r="H24" s="257"/>
      <c r="I24" s="281"/>
      <c r="J24" s="284"/>
      <c r="K24" s="284"/>
      <c r="L24" s="238"/>
    </row>
    <row r="25" spans="2:12" ht="15">
      <c r="B25" s="253"/>
      <c r="C25" s="254"/>
      <c r="D25" s="255"/>
      <c r="E25" s="256"/>
      <c r="F25" s="255"/>
      <c r="G25" s="256"/>
      <c r="H25" s="257"/>
      <c r="I25" s="281"/>
      <c r="J25" s="284"/>
      <c r="K25" s="284"/>
      <c r="L25" s="238"/>
    </row>
    <row r="26" spans="2:12" ht="15">
      <c r="B26" s="253"/>
      <c r="C26" s="254"/>
      <c r="D26" s="255"/>
      <c r="E26" s="256"/>
      <c r="F26" s="255"/>
      <c r="G26" s="256"/>
      <c r="H26" s="257"/>
      <c r="I26" s="281"/>
      <c r="J26" s="284"/>
      <c r="K26" s="284"/>
      <c r="L26" s="238"/>
    </row>
    <row r="27" spans="2:12" ht="15">
      <c r="B27" s="253"/>
      <c r="C27" s="254"/>
      <c r="D27" s="255"/>
      <c r="E27" s="256"/>
      <c r="F27" s="255"/>
      <c r="G27" s="256"/>
      <c r="H27" s="257"/>
      <c r="I27" s="281"/>
      <c r="J27" s="284"/>
      <c r="K27" s="284"/>
      <c r="L27" s="238"/>
    </row>
    <row r="28" spans="2:12" ht="15">
      <c r="B28" s="253"/>
      <c r="C28" s="254"/>
      <c r="D28" s="255"/>
      <c r="E28" s="256"/>
      <c r="F28" s="255"/>
      <c r="G28" s="256"/>
      <c r="H28" s="257"/>
      <c r="I28" s="281"/>
      <c r="J28" s="284"/>
      <c r="K28" s="284"/>
      <c r="L28" s="238"/>
    </row>
    <row r="29" spans="2:12" ht="15">
      <c r="B29" s="253"/>
      <c r="C29" s="254"/>
      <c r="D29" s="255"/>
      <c r="E29" s="256"/>
      <c r="F29" s="255"/>
      <c r="G29" s="256"/>
      <c r="H29" s="257"/>
      <c r="I29" s="281"/>
      <c r="J29" s="284"/>
      <c r="K29" s="284"/>
      <c r="L29" s="238"/>
    </row>
    <row r="30" spans="2:12" ht="15">
      <c r="B30" s="253"/>
      <c r="C30" s="254"/>
      <c r="D30" s="255"/>
      <c r="E30" s="256"/>
      <c r="F30" s="255"/>
      <c r="G30" s="256"/>
      <c r="H30" s="257"/>
      <c r="I30" s="281"/>
      <c r="J30" s="284"/>
      <c r="K30" s="284"/>
      <c r="L30" s="238"/>
    </row>
    <row r="31" spans="2:12" ht="15">
      <c r="B31" s="253"/>
      <c r="C31" s="254"/>
      <c r="D31" s="255"/>
      <c r="E31" s="256"/>
      <c r="F31" s="255"/>
      <c r="G31" s="256"/>
      <c r="H31" s="257"/>
      <c r="I31" s="281"/>
      <c r="J31" s="284"/>
      <c r="K31" s="284"/>
      <c r="L31" s="238"/>
    </row>
    <row r="32" spans="2:12" ht="15">
      <c r="B32" s="253"/>
      <c r="C32" s="254"/>
      <c r="D32" s="255"/>
      <c r="E32" s="256"/>
      <c r="F32" s="255"/>
      <c r="G32" s="256"/>
      <c r="H32" s="257"/>
      <c r="I32" s="281"/>
      <c r="J32" s="284"/>
      <c r="K32" s="284"/>
      <c r="L32" s="238"/>
    </row>
    <row r="33" spans="2:12" ht="15">
      <c r="B33" s="253"/>
      <c r="C33" s="254"/>
      <c r="D33" s="255"/>
      <c r="E33" s="256"/>
      <c r="F33" s="255"/>
      <c r="G33" s="256"/>
      <c r="H33" s="257"/>
      <c r="I33" s="281"/>
      <c r="J33" s="284"/>
      <c r="K33" s="284"/>
      <c r="L33" s="238"/>
    </row>
    <row r="34" spans="2:12" ht="15">
      <c r="B34" s="253"/>
      <c r="C34" s="254"/>
      <c r="D34" s="255"/>
      <c r="E34" s="256"/>
      <c r="F34" s="255"/>
      <c r="G34" s="256"/>
      <c r="H34" s="257"/>
      <c r="I34" s="281"/>
      <c r="J34" s="284"/>
      <c r="K34" s="284"/>
      <c r="L34" s="238"/>
    </row>
    <row r="35" spans="2:12" ht="15">
      <c r="B35" s="253"/>
      <c r="C35" s="254"/>
      <c r="D35" s="255"/>
      <c r="E35" s="256"/>
      <c r="F35" s="255"/>
      <c r="G35" s="256"/>
      <c r="H35" s="257"/>
      <c r="I35" s="281"/>
      <c r="J35" s="284"/>
      <c r="K35" s="284"/>
      <c r="L35" s="238"/>
    </row>
    <row r="36" spans="2:12" ht="15">
      <c r="B36" s="253"/>
      <c r="C36" s="254"/>
      <c r="D36" s="255"/>
      <c r="E36" s="256"/>
      <c r="F36" s="255"/>
      <c r="G36" s="256"/>
      <c r="H36" s="257"/>
      <c r="I36" s="281"/>
      <c r="J36" s="284"/>
      <c r="K36" s="284"/>
      <c r="L36" s="238"/>
    </row>
    <row r="37" spans="2:12" ht="15">
      <c r="B37" s="253"/>
      <c r="C37" s="254"/>
      <c r="D37" s="255"/>
      <c r="E37" s="256"/>
      <c r="F37" s="255"/>
      <c r="G37" s="256"/>
      <c r="H37" s="257"/>
      <c r="I37" s="281"/>
      <c r="J37" s="284"/>
      <c r="K37" s="284"/>
      <c r="L37" s="238"/>
    </row>
    <row r="38" spans="2:12" ht="15">
      <c r="B38" s="253"/>
      <c r="C38" s="254"/>
      <c r="D38" s="255"/>
      <c r="E38" s="256"/>
      <c r="F38" s="255"/>
      <c r="G38" s="256"/>
      <c r="H38" s="257"/>
      <c r="I38" s="281"/>
      <c r="J38" s="284"/>
      <c r="K38" s="284"/>
      <c r="L38" s="238"/>
    </row>
    <row r="39" spans="2:12" ht="15">
      <c r="B39" s="253"/>
      <c r="C39" s="254"/>
      <c r="D39" s="255"/>
      <c r="E39" s="256"/>
      <c r="F39" s="255"/>
      <c r="G39" s="256"/>
      <c r="H39" s="257"/>
      <c r="I39" s="281"/>
      <c r="J39" s="284"/>
      <c r="K39" s="284"/>
      <c r="L39" s="238"/>
    </row>
    <row r="40" spans="2:12" ht="15">
      <c r="B40" s="253"/>
      <c r="C40" s="254"/>
      <c r="D40" s="255"/>
      <c r="E40" s="256"/>
      <c r="F40" s="255"/>
      <c r="G40" s="256"/>
      <c r="H40" s="257"/>
      <c r="I40" s="281"/>
      <c r="J40" s="284"/>
      <c r="K40" s="284"/>
      <c r="L40" s="238"/>
    </row>
    <row r="41" spans="2:12" ht="15">
      <c r="B41" s="253"/>
      <c r="C41" s="254"/>
      <c r="D41" s="255"/>
      <c r="E41" s="256"/>
      <c r="F41" s="255"/>
      <c r="G41" s="256"/>
      <c r="H41" s="257"/>
      <c r="I41" s="281"/>
      <c r="J41" s="284"/>
      <c r="K41" s="284"/>
      <c r="L41" s="238"/>
    </row>
    <row r="42" spans="2:12" ht="15">
      <c r="B42" s="253"/>
      <c r="C42" s="254"/>
      <c r="D42" s="255"/>
      <c r="E42" s="256"/>
      <c r="F42" s="255"/>
      <c r="G42" s="256"/>
      <c r="H42" s="257"/>
      <c r="I42" s="281"/>
      <c r="J42" s="284"/>
      <c r="K42" s="284"/>
      <c r="L42" s="238"/>
    </row>
    <row r="43" spans="2:12" ht="15">
      <c r="B43" s="253"/>
      <c r="C43" s="254"/>
      <c r="D43" s="255"/>
      <c r="E43" s="256"/>
      <c r="F43" s="255"/>
      <c r="G43" s="256"/>
      <c r="H43" s="257"/>
      <c r="I43" s="281"/>
      <c r="J43" s="284"/>
      <c r="K43" s="284"/>
      <c r="L43" s="238"/>
    </row>
    <row r="44" spans="2:12" ht="15">
      <c r="B44" s="253"/>
      <c r="C44" s="254"/>
      <c r="D44" s="255"/>
      <c r="E44" s="256"/>
      <c r="F44" s="255"/>
      <c r="G44" s="256"/>
      <c r="H44" s="257"/>
      <c r="I44" s="281"/>
      <c r="J44" s="284"/>
      <c r="K44" s="284"/>
      <c r="L44" s="238"/>
    </row>
    <row r="45" spans="2:12" ht="15">
      <c r="B45" s="253"/>
      <c r="C45" s="254"/>
      <c r="D45" s="255"/>
      <c r="E45" s="256"/>
      <c r="F45" s="255"/>
      <c r="G45" s="256"/>
      <c r="H45" s="257"/>
      <c r="I45" s="281"/>
      <c r="J45" s="284"/>
      <c r="K45" s="284"/>
      <c r="L45" s="238"/>
    </row>
    <row r="46" spans="2:12" ht="15">
      <c r="B46" s="253"/>
      <c r="C46" s="254"/>
      <c r="D46" s="255"/>
      <c r="E46" s="256"/>
      <c r="F46" s="255"/>
      <c r="G46" s="256"/>
      <c r="H46" s="257"/>
      <c r="I46" s="281"/>
      <c r="J46" s="284"/>
      <c r="K46" s="284"/>
      <c r="L46" s="238"/>
    </row>
    <row r="47" spans="2:12" ht="15">
      <c r="B47" s="253"/>
      <c r="C47" s="254"/>
      <c r="D47" s="255"/>
      <c r="E47" s="256"/>
      <c r="F47" s="255"/>
      <c r="G47" s="256"/>
      <c r="H47" s="257"/>
      <c r="I47" s="281"/>
      <c r="J47" s="284"/>
      <c r="K47" s="284"/>
      <c r="L47" s="238"/>
    </row>
    <row r="48" spans="2:12" ht="15">
      <c r="B48" s="253"/>
      <c r="C48" s="254"/>
      <c r="D48" s="255"/>
      <c r="E48" s="256"/>
      <c r="F48" s="255"/>
      <c r="G48" s="256"/>
      <c r="H48" s="257"/>
      <c r="I48" s="281"/>
      <c r="J48" s="284"/>
      <c r="K48" s="284"/>
      <c r="L48" s="238"/>
    </row>
    <row r="49" spans="2:12" ht="15">
      <c r="B49" s="253"/>
      <c r="C49" s="254"/>
      <c r="D49" s="255"/>
      <c r="E49" s="256"/>
      <c r="F49" s="255"/>
      <c r="G49" s="256"/>
      <c r="H49" s="257"/>
      <c r="I49" s="281"/>
      <c r="J49" s="284"/>
      <c r="K49" s="284"/>
      <c r="L49" s="238"/>
    </row>
    <row r="50" spans="2:12" ht="15">
      <c r="B50" s="253"/>
      <c r="C50" s="254"/>
      <c r="D50" s="255"/>
      <c r="E50" s="256"/>
      <c r="F50" s="255"/>
      <c r="G50" s="256"/>
      <c r="H50" s="257"/>
      <c r="I50" s="281"/>
      <c r="J50" s="284"/>
      <c r="K50" s="284"/>
      <c r="L50" s="238"/>
    </row>
    <row r="51" spans="2:12" ht="15">
      <c r="B51" s="253"/>
      <c r="C51" s="254"/>
      <c r="D51" s="255"/>
      <c r="E51" s="256"/>
      <c r="F51" s="255"/>
      <c r="G51" s="256"/>
      <c r="H51" s="257"/>
      <c r="I51" s="281"/>
      <c r="J51" s="284"/>
      <c r="K51" s="284"/>
      <c r="L51" s="238"/>
    </row>
    <row r="52" spans="2:12" ht="15">
      <c r="B52" s="253"/>
      <c r="C52" s="254"/>
      <c r="D52" s="255"/>
      <c r="E52" s="256"/>
      <c r="F52" s="255"/>
      <c r="G52" s="256"/>
      <c r="H52" s="257"/>
      <c r="I52" s="281"/>
      <c r="J52" s="284"/>
      <c r="K52" s="284"/>
      <c r="L52" s="238"/>
    </row>
    <row r="53" spans="2:12" ht="15">
      <c r="B53" s="253"/>
      <c r="C53" s="254"/>
      <c r="D53" s="255"/>
      <c r="E53" s="256"/>
      <c r="F53" s="255"/>
      <c r="G53" s="256"/>
      <c r="H53" s="257"/>
      <c r="I53" s="281"/>
      <c r="J53" s="284"/>
      <c r="K53" s="284"/>
      <c r="L53" s="238"/>
    </row>
    <row r="54" spans="2:12" ht="15">
      <c r="B54" s="253"/>
      <c r="C54" s="254"/>
      <c r="D54" s="255"/>
      <c r="E54" s="256"/>
      <c r="F54" s="255"/>
      <c r="G54" s="256"/>
      <c r="H54" s="257"/>
      <c r="I54" s="281"/>
      <c r="J54" s="284"/>
      <c r="K54" s="284"/>
      <c r="L54" s="238"/>
    </row>
    <row r="55" spans="2:12" ht="15">
      <c r="B55" s="253"/>
      <c r="C55" s="254"/>
      <c r="D55" s="255"/>
      <c r="E55" s="256"/>
      <c r="F55" s="255"/>
      <c r="G55" s="256"/>
      <c r="H55" s="257"/>
      <c r="I55" s="281"/>
      <c r="J55" s="284"/>
      <c r="K55" s="284"/>
      <c r="L55" s="238"/>
    </row>
    <row r="56" spans="2:12" ht="15">
      <c r="B56" s="253"/>
      <c r="C56" s="254"/>
      <c r="D56" s="255"/>
      <c r="E56" s="256"/>
      <c r="F56" s="255"/>
      <c r="G56" s="256"/>
      <c r="H56" s="257"/>
      <c r="I56" s="281"/>
      <c r="J56" s="284"/>
      <c r="K56" s="284"/>
      <c r="L56" s="238"/>
    </row>
    <row r="57" spans="2:12" ht="15">
      <c r="B57" s="253"/>
      <c r="C57" s="254"/>
      <c r="D57" s="255"/>
      <c r="E57" s="256"/>
      <c r="F57" s="255"/>
      <c r="G57" s="256"/>
      <c r="H57" s="257"/>
      <c r="I57" s="281"/>
      <c r="J57" s="284"/>
      <c r="K57" s="284"/>
      <c r="L57" s="238"/>
    </row>
    <row r="58" spans="2:12" ht="15">
      <c r="B58" s="253"/>
      <c r="C58" s="254"/>
      <c r="D58" s="255"/>
      <c r="E58" s="256"/>
      <c r="F58" s="255"/>
      <c r="G58" s="256"/>
      <c r="H58" s="257"/>
      <c r="I58" s="281"/>
      <c r="J58" s="284"/>
      <c r="K58" s="284"/>
      <c r="L58" s="238"/>
    </row>
    <row r="59" spans="2:12" ht="15">
      <c r="B59" s="253"/>
      <c r="C59" s="254"/>
      <c r="D59" s="255"/>
      <c r="E59" s="256"/>
      <c r="F59" s="255"/>
      <c r="G59" s="256"/>
      <c r="H59" s="257"/>
      <c r="I59" s="281"/>
      <c r="J59" s="284"/>
      <c r="K59" s="284"/>
      <c r="L59" s="238"/>
    </row>
    <row r="60" spans="2:12" ht="15">
      <c r="B60" s="253"/>
      <c r="C60" s="254"/>
      <c r="D60" s="255"/>
      <c r="E60" s="256"/>
      <c r="F60" s="255"/>
      <c r="G60" s="256"/>
      <c r="H60" s="257"/>
      <c r="I60" s="281"/>
      <c r="J60" s="284"/>
      <c r="K60" s="284"/>
      <c r="L60" s="238"/>
    </row>
    <row r="61" spans="2:12" ht="15">
      <c r="B61" s="253"/>
      <c r="C61" s="254"/>
      <c r="D61" s="255"/>
      <c r="E61" s="256"/>
      <c r="F61" s="255"/>
      <c r="G61" s="256"/>
      <c r="H61" s="257"/>
      <c r="I61" s="281"/>
      <c r="J61" s="284"/>
      <c r="K61" s="284"/>
      <c r="L61" s="238"/>
    </row>
    <row r="62" spans="2:12" ht="15">
      <c r="B62" s="253"/>
      <c r="C62" s="254"/>
      <c r="D62" s="255"/>
      <c r="E62" s="256"/>
      <c r="F62" s="255"/>
      <c r="G62" s="256"/>
      <c r="H62" s="257"/>
      <c r="I62" s="281"/>
      <c r="J62" s="284"/>
      <c r="K62" s="284"/>
      <c r="L62" s="238"/>
    </row>
    <row r="63" spans="2:12" ht="15">
      <c r="B63" s="253"/>
      <c r="C63" s="254"/>
      <c r="D63" s="255"/>
      <c r="E63" s="256"/>
      <c r="F63" s="255"/>
      <c r="G63" s="256"/>
      <c r="H63" s="257"/>
      <c r="I63" s="281"/>
      <c r="J63" s="284"/>
      <c r="K63" s="284"/>
      <c r="L63" s="238"/>
    </row>
    <row r="64" spans="2:12" ht="15">
      <c r="B64" s="253"/>
      <c r="C64" s="254"/>
      <c r="D64" s="255"/>
      <c r="E64" s="256"/>
      <c r="F64" s="255"/>
      <c r="G64" s="256"/>
      <c r="H64" s="257"/>
      <c r="I64" s="281"/>
      <c r="J64" s="284"/>
      <c r="K64" s="284"/>
    </row>
    <row r="65" spans="2:11" ht="15">
      <c r="B65" s="253"/>
      <c r="C65" s="254"/>
      <c r="D65" s="255"/>
      <c r="E65" s="256"/>
      <c r="F65" s="255"/>
      <c r="G65" s="256"/>
      <c r="H65" s="257"/>
      <c r="I65" s="281"/>
      <c r="J65" s="284"/>
      <c r="K65" s="284"/>
    </row>
    <row r="66" spans="2:11" ht="15">
      <c r="B66" s="253"/>
      <c r="C66" s="254"/>
      <c r="D66" s="255"/>
      <c r="E66" s="256"/>
      <c r="F66" s="255"/>
      <c r="G66" s="256"/>
      <c r="H66" s="257"/>
      <c r="I66" s="281"/>
      <c r="J66" s="284"/>
      <c r="K66" s="284"/>
    </row>
    <row r="67" spans="2:11" ht="15">
      <c r="B67" s="253"/>
      <c r="C67" s="254"/>
      <c r="D67" s="255"/>
      <c r="E67" s="256"/>
      <c r="F67" s="255"/>
      <c r="G67" s="256"/>
      <c r="H67" s="257"/>
      <c r="I67" s="281"/>
      <c r="J67" s="284"/>
      <c r="K67" s="284"/>
    </row>
    <row r="68" spans="2:11" ht="15">
      <c r="B68" s="253"/>
      <c r="C68" s="254"/>
      <c r="D68" s="255"/>
      <c r="E68" s="256"/>
      <c r="F68" s="255"/>
      <c r="G68" s="256"/>
      <c r="H68" s="257"/>
      <c r="I68" s="281"/>
      <c r="J68" s="284"/>
      <c r="K68" s="284"/>
    </row>
    <row r="69" spans="2:11" ht="15">
      <c r="B69" s="253"/>
      <c r="C69" s="254"/>
      <c r="D69" s="255"/>
      <c r="E69" s="256"/>
      <c r="F69" s="255"/>
      <c r="G69" s="256"/>
      <c r="H69" s="257"/>
      <c r="I69" s="281"/>
      <c r="J69" s="284"/>
      <c r="K69" s="284"/>
    </row>
    <row r="70" spans="2:11" ht="15">
      <c r="B70" s="253"/>
      <c r="C70" s="254"/>
      <c r="D70" s="255"/>
      <c r="E70" s="256"/>
      <c r="F70" s="255"/>
      <c r="G70" s="256"/>
      <c r="H70" s="257"/>
      <c r="I70" s="281"/>
      <c r="J70" s="284"/>
      <c r="K70" s="284"/>
    </row>
    <row r="71" spans="2:11" ht="15">
      <c r="B71" s="253"/>
      <c r="C71" s="254"/>
      <c r="D71" s="255"/>
      <c r="E71" s="256"/>
      <c r="F71" s="255"/>
      <c r="G71" s="256"/>
      <c r="H71" s="257"/>
      <c r="I71" s="281"/>
      <c r="J71" s="284"/>
      <c r="K71" s="284"/>
    </row>
    <row r="72" spans="2:11" ht="15">
      <c r="B72" s="253"/>
      <c r="C72" s="254"/>
      <c r="D72" s="255"/>
      <c r="E72" s="256"/>
      <c r="F72" s="255"/>
      <c r="G72" s="256"/>
      <c r="H72" s="257"/>
      <c r="I72" s="281"/>
      <c r="J72" s="284"/>
      <c r="K72" s="284"/>
    </row>
    <row r="73" spans="2:11" ht="15">
      <c r="B73" s="253"/>
      <c r="C73" s="254"/>
      <c r="D73" s="255"/>
      <c r="E73" s="256"/>
      <c r="F73" s="255"/>
      <c r="G73" s="256"/>
      <c r="H73" s="257"/>
      <c r="I73" s="281"/>
      <c r="J73" s="284"/>
      <c r="K73" s="284"/>
    </row>
    <row r="74" spans="2:11" ht="15">
      <c r="B74" s="253"/>
      <c r="C74" s="254"/>
      <c r="D74" s="255"/>
      <c r="E74" s="256"/>
      <c r="F74" s="255"/>
      <c r="G74" s="256"/>
      <c r="H74" s="257"/>
      <c r="I74" s="281"/>
      <c r="J74" s="284"/>
      <c r="K74" s="284"/>
    </row>
    <row r="75" spans="2:11" ht="15">
      <c r="B75" s="253"/>
      <c r="C75" s="254"/>
      <c r="D75" s="255"/>
      <c r="E75" s="256"/>
      <c r="F75" s="255"/>
      <c r="G75" s="256"/>
      <c r="H75" s="257"/>
      <c r="I75" s="281"/>
      <c r="J75" s="284"/>
      <c r="K75" s="284"/>
    </row>
    <row r="76" spans="2:11" ht="15">
      <c r="B76" s="253"/>
      <c r="C76" s="254"/>
      <c r="D76" s="255"/>
      <c r="E76" s="256"/>
      <c r="F76" s="255"/>
      <c r="G76" s="256"/>
      <c r="H76" s="257"/>
      <c r="I76" s="281"/>
      <c r="J76" s="284"/>
      <c r="K76" s="284"/>
    </row>
    <row r="77" spans="2:11" ht="15">
      <c r="B77" s="253"/>
      <c r="C77" s="254"/>
      <c r="D77" s="255"/>
      <c r="E77" s="256"/>
      <c r="F77" s="255"/>
      <c r="G77" s="256"/>
      <c r="H77" s="257"/>
      <c r="I77" s="281"/>
      <c r="J77" s="284"/>
      <c r="K77" s="284"/>
    </row>
    <row r="78" spans="2:11" ht="15">
      <c r="B78" s="253"/>
      <c r="C78" s="254"/>
      <c r="D78" s="255"/>
      <c r="E78" s="256"/>
      <c r="F78" s="255"/>
      <c r="G78" s="256"/>
      <c r="H78" s="257"/>
      <c r="I78" s="281"/>
      <c r="J78" s="284"/>
      <c r="K78" s="284"/>
    </row>
    <row r="79" spans="2:11" ht="15">
      <c r="B79" s="253"/>
      <c r="C79" s="254"/>
      <c r="D79" s="255"/>
      <c r="E79" s="256"/>
      <c r="F79" s="255"/>
      <c r="G79" s="256"/>
      <c r="H79" s="257"/>
      <c r="I79" s="281"/>
      <c r="J79" s="284"/>
      <c r="K79" s="284"/>
    </row>
    <row r="80" spans="2:11" ht="15">
      <c r="B80" s="253"/>
      <c r="C80" s="254"/>
      <c r="D80" s="255"/>
      <c r="E80" s="256"/>
      <c r="F80" s="255"/>
      <c r="G80" s="256"/>
      <c r="H80" s="257"/>
      <c r="I80" s="281"/>
      <c r="J80" s="284"/>
      <c r="K80" s="284"/>
    </row>
    <row r="81" spans="2:11" ht="15">
      <c r="B81" s="253"/>
      <c r="C81" s="254"/>
      <c r="D81" s="255"/>
      <c r="E81" s="256"/>
      <c r="F81" s="255"/>
      <c r="G81" s="256"/>
      <c r="H81" s="257"/>
      <c r="I81" s="281"/>
      <c r="J81" s="284"/>
      <c r="K81" s="284"/>
    </row>
    <row r="82" spans="2:11" ht="15">
      <c r="B82" s="253"/>
      <c r="C82" s="254"/>
      <c r="D82" s="255"/>
      <c r="E82" s="256"/>
      <c r="F82" s="255"/>
      <c r="G82" s="256"/>
      <c r="H82" s="257"/>
      <c r="I82" s="281"/>
      <c r="J82" s="284"/>
      <c r="K82" s="284"/>
    </row>
    <row r="83" spans="2:11" ht="15">
      <c r="B83" s="253"/>
      <c r="C83" s="254"/>
      <c r="D83" s="255"/>
      <c r="E83" s="256"/>
      <c r="F83" s="255"/>
      <c r="G83" s="256"/>
      <c r="H83" s="257"/>
      <c r="I83" s="281"/>
      <c r="J83" s="284"/>
      <c r="K83" s="284"/>
    </row>
    <row r="84" spans="2:11" ht="15">
      <c r="B84" s="253"/>
      <c r="C84" s="254"/>
      <c r="D84" s="255"/>
      <c r="E84" s="256"/>
      <c r="F84" s="255"/>
      <c r="G84" s="256"/>
      <c r="H84" s="257"/>
      <c r="I84" s="281"/>
      <c r="J84" s="284"/>
      <c r="K84" s="284"/>
    </row>
    <row r="85" spans="2:11" ht="15">
      <c r="B85" s="253"/>
      <c r="C85" s="254"/>
      <c r="D85" s="255"/>
      <c r="E85" s="256"/>
      <c r="F85" s="255"/>
      <c r="G85" s="256"/>
      <c r="H85" s="257"/>
      <c r="I85" s="281"/>
      <c r="J85" s="284"/>
      <c r="K85" s="284"/>
    </row>
    <row r="86" spans="2:11" ht="15">
      <c r="B86" s="253"/>
      <c r="C86" s="254"/>
      <c r="D86" s="255"/>
      <c r="E86" s="256"/>
      <c r="F86" s="255"/>
      <c r="G86" s="256"/>
      <c r="H86" s="257"/>
      <c r="I86" s="281"/>
      <c r="J86" s="284"/>
      <c r="K86" s="284"/>
    </row>
    <row r="87" spans="2:11" ht="15">
      <c r="B87" s="253"/>
      <c r="C87" s="254"/>
      <c r="D87" s="255"/>
      <c r="E87" s="256"/>
      <c r="F87" s="255"/>
      <c r="G87" s="256"/>
      <c r="H87" s="257"/>
      <c r="I87" s="281"/>
      <c r="J87" s="284"/>
      <c r="K87" s="284"/>
    </row>
    <row r="88" spans="2:11" ht="15">
      <c r="B88" s="253"/>
      <c r="C88" s="254"/>
      <c r="D88" s="255"/>
      <c r="E88" s="256"/>
      <c r="F88" s="255"/>
      <c r="G88" s="256"/>
      <c r="H88" s="257"/>
      <c r="I88" s="281"/>
      <c r="J88" s="284"/>
      <c r="K88" s="284"/>
    </row>
    <row r="89" spans="2:11" ht="15">
      <c r="B89" s="253"/>
      <c r="C89" s="254"/>
      <c r="D89" s="255"/>
      <c r="E89" s="256"/>
      <c r="F89" s="255"/>
      <c r="G89" s="256"/>
      <c r="H89" s="257"/>
      <c r="I89" s="281"/>
      <c r="J89" s="284"/>
      <c r="K89" s="284"/>
    </row>
    <row r="90" spans="2:11" ht="15">
      <c r="B90" s="253"/>
      <c r="C90" s="254"/>
      <c r="D90" s="255"/>
      <c r="E90" s="256"/>
      <c r="F90" s="255"/>
      <c r="G90" s="256"/>
      <c r="H90" s="257"/>
      <c r="I90" s="281"/>
      <c r="J90" s="284"/>
      <c r="K90" s="284"/>
    </row>
    <row r="91" spans="2:11" ht="15">
      <c r="B91" s="253"/>
      <c r="C91" s="254"/>
      <c r="D91" s="255"/>
      <c r="E91" s="256"/>
      <c r="F91" s="255"/>
      <c r="G91" s="256"/>
      <c r="H91" s="257"/>
      <c r="I91" s="281"/>
      <c r="J91" s="284"/>
      <c r="K91" s="284"/>
    </row>
    <row r="92" spans="2:11" ht="15">
      <c r="B92" s="253"/>
      <c r="C92" s="254"/>
      <c r="D92" s="255"/>
      <c r="E92" s="256"/>
      <c r="F92" s="255"/>
      <c r="G92" s="256"/>
      <c r="H92" s="257"/>
      <c r="I92" s="281"/>
      <c r="J92" s="284"/>
      <c r="K92" s="284"/>
    </row>
    <row r="93" spans="2:11" ht="15.75" thickBot="1">
      <c r="B93" s="258"/>
      <c r="C93" s="259"/>
      <c r="D93" s="260"/>
      <c r="E93" s="261"/>
      <c r="F93" s="260"/>
      <c r="G93" s="261"/>
      <c r="H93" s="262"/>
      <c r="I93" s="282"/>
      <c r="J93" s="285"/>
      <c r="K93" s="285"/>
    </row>
  </sheetData>
  <autoFilter ref="B2:K93"/>
  <pageMargins left="0.7" right="0.7" top="0.75" bottom="0.75" header="0.3" footer="0.3"/>
  <pageSetup paperSize="9" orientation="portrait" horizontalDpi="120" verticalDpi="7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MAYOR COLONES</vt:lpstr>
      <vt:lpstr>MAYOR DOLARES</vt:lpstr>
      <vt:lpstr>Descargas</vt:lpstr>
      <vt:lpstr>Cargas</vt:lpstr>
      <vt:lpstr>'MAYOR COLONES'!Área_de_extracción</vt:lpstr>
      <vt:lpstr>'MAYOR DOLARES'!Área_de_extracción</vt:lpstr>
      <vt:lpstr>'MAYOR COLONES'!Área_de_impresión</vt:lpstr>
      <vt:lpstr>'MAYOR DOLARES'!Área_de_impresión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cmendozas</dc:creator>
  <cp:lastModifiedBy>egchavarria</cp:lastModifiedBy>
  <cp:lastPrinted>2012-09-10T18:02:56Z</cp:lastPrinted>
  <dcterms:created xsi:type="dcterms:W3CDTF">2012-03-08T16:15:22Z</dcterms:created>
  <dcterms:modified xsi:type="dcterms:W3CDTF">2013-04-10T19:14:06Z</dcterms:modified>
</cp:coreProperties>
</file>